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wford/Documents/research/bogdan/pathogenic_variants_AllOfUs/data/"/>
    </mc:Choice>
  </mc:AlternateContent>
  <xr:revisionPtr revIDLastSave="0" documentId="8_{714559C0-DE30-904E-8A16-D0C9277A005E}" xr6:coauthVersionLast="47" xr6:coauthVersionMax="47" xr10:uidLastSave="{00000000-0000-0000-0000-000000000000}"/>
  <bookViews>
    <workbookView xWindow="3780" yWindow="760" windowWidth="28960" windowHeight="20300" xr2:uid="{45E66F74-3195-E842-B7F6-38AB3F1B3B26}"/>
  </bookViews>
  <sheets>
    <sheet name="ACMG SF Annotations Download - " sheetId="1" r:id="rId1"/>
    <sheet name="OMIM to Orpha" sheetId="2" r:id="rId2"/>
    <sheet name="Orpha to IC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1" i="3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2" i="3" a="1"/>
  <c r="B2" i="3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42" i="3" a="1"/>
  <c r="B42" i="3" s="1"/>
  <c r="B43" i="3" a="1"/>
  <c r="B43" i="3" s="1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1" i="3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<sst xmlns="http://schemas.openxmlformats.org/spreadsheetml/2006/main" count="701" uniqueCount="257">
  <si>
    <t>Gene</t>
  </si>
  <si>
    <t>Gene MIM</t>
  </si>
  <si>
    <t>Disease/Phentyope</t>
  </si>
  <si>
    <t>Disorder MIM</t>
  </si>
  <si>
    <t>Phenotype Category</t>
  </si>
  <si>
    <t>Inheritance</t>
  </si>
  <si>
    <t>SF List Version</t>
  </si>
  <si>
    <t>Variants to report</t>
  </si>
  <si>
    <t>ABCD1</t>
  </si>
  <si>
    <t>X-linked adrenoleukodystrophy</t>
  </si>
  <si>
    <t>Metabolic</t>
  </si>
  <si>
    <t>XL</t>
  </si>
  <si>
    <t>All hemi or homozygous P and LP or 2 het. P/LP variants</t>
  </si>
  <si>
    <t>ACTA2</t>
  </si>
  <si>
    <t>Familial thoracic aortic aneurysm</t>
  </si>
  <si>
    <t>Cardiovascular</t>
  </si>
  <si>
    <t>AD</t>
  </si>
  <si>
    <t>All P and LP</t>
  </si>
  <si>
    <t>ACTC1</t>
  </si>
  <si>
    <t>Hypertrophic cardiomyopathy</t>
  </si>
  <si>
    <t>ACVRL1</t>
  </si>
  <si>
    <t>Hereditary hemorrhagic telangiectasia</t>
  </si>
  <si>
    <t>Other</t>
  </si>
  <si>
    <t>APC</t>
  </si>
  <si>
    <t>Familial adenomatous polyposis</t>
  </si>
  <si>
    <t>Cancer</t>
  </si>
  <si>
    <t>APOB</t>
  </si>
  <si>
    <t>Familial hypercholesterolemia</t>
  </si>
  <si>
    <t>ATP7B</t>
  </si>
  <si>
    <t>Wilson disease</t>
  </si>
  <si>
    <t>AR</t>
  </si>
  <si>
    <t>P and LP (2 variants)</t>
  </si>
  <si>
    <t>BAG3</t>
  </si>
  <si>
    <t>Dilated cardiomyopathy</t>
  </si>
  <si>
    <t>Myofibrillar myopathy</t>
  </si>
  <si>
    <t>BMPR1A</t>
  </si>
  <si>
    <t>Juvenile polyposis syndrome</t>
  </si>
  <si>
    <t>BRCA1</t>
  </si>
  <si>
    <t>Hereditary breast and ovarian cancer</t>
  </si>
  <si>
    <t>BRCA2</t>
  </si>
  <si>
    <t>BTD</t>
  </si>
  <si>
    <t>Biotinidase deficiency</t>
  </si>
  <si>
    <t>CACNA1S</t>
  </si>
  <si>
    <t>Malignant hyperthermia</t>
  </si>
  <si>
    <t>CALM1</t>
  </si>
  <si>
    <t>Long-QT syndrome type 14</t>
  </si>
  <si>
    <t>Catecholaminergic polymorphic ventricular tachycardia</t>
  </si>
  <si>
    <t>CALM2</t>
  </si>
  <si>
    <t>Long-QT syndrome type 15</t>
  </si>
  <si>
    <t>CALM3</t>
  </si>
  <si>
    <t>Long-QT syndrome type 16</t>
  </si>
  <si>
    <t>CASQ2</t>
  </si>
  <si>
    <t>COL3A1</t>
  </si>
  <si>
    <t>Ehlers-Danlos syndrome, vascular type</t>
  </si>
  <si>
    <t>CYP27A1</t>
  </si>
  <si>
    <t>Cerebrotendinous xanthomatosis</t>
  </si>
  <si>
    <t>DES</t>
  </si>
  <si>
    <t>Dliated cardiomyopathy</t>
  </si>
  <si>
    <t>DSC2</t>
  </si>
  <si>
    <t>Arrhythmogenic right ventricular cardiomyopathy</t>
  </si>
  <si>
    <t>DSG2</t>
  </si>
  <si>
    <t>DSP</t>
  </si>
  <si>
    <t>ENG</t>
  </si>
  <si>
    <t>FBN1</t>
  </si>
  <si>
    <t>Marfan syndrome</t>
  </si>
  <si>
    <t>FLNC</t>
  </si>
  <si>
    <t>n/a</t>
  </si>
  <si>
    <t>GAA</t>
  </si>
  <si>
    <t>Pompe disease</t>
  </si>
  <si>
    <t>GLA</t>
  </si>
  <si>
    <t>Fabry disease</t>
  </si>
  <si>
    <t>Cardiovascular  Metabolic</t>
  </si>
  <si>
    <t>All hemi, het, homozygous P and LP</t>
  </si>
  <si>
    <t>HFE</t>
  </si>
  <si>
    <t>Hereditary hemochromatosis (c.845G&gt;A; p.C282Y homozygotes only)</t>
  </si>
  <si>
    <t>p.C282Y homozygotes only</t>
  </si>
  <si>
    <t>HNF1A</t>
  </si>
  <si>
    <t>Maturity-Onset of Diabetes of the Young</t>
  </si>
  <si>
    <t>KCNH2</t>
  </si>
  <si>
    <t>Long-QT syndrome type 2</t>
  </si>
  <si>
    <t>KCNQ1</t>
  </si>
  <si>
    <t>Long-QT syndrome type 1</t>
  </si>
  <si>
    <t>LDLR</t>
  </si>
  <si>
    <t>LMNA</t>
  </si>
  <si>
    <t>MAX</t>
  </si>
  <si>
    <t>Hereditary paraganglioma-pheochromocytoma syndrome</t>
  </si>
  <si>
    <t>MEN1</t>
  </si>
  <si>
    <t>Multiple endocrine neoplasia type 1</t>
  </si>
  <si>
    <t>MLH1</t>
  </si>
  <si>
    <t>Lynch syndrome</t>
  </si>
  <si>
    <t>MSH2</t>
  </si>
  <si>
    <t>MSH6</t>
  </si>
  <si>
    <t>MUTYH</t>
  </si>
  <si>
    <t>MUTYH-associated polyposis</t>
  </si>
  <si>
    <t>MYBPC3</t>
  </si>
  <si>
    <t>MYH11</t>
  </si>
  <si>
    <t>MYH7</t>
  </si>
  <si>
    <t>MYL2</t>
  </si>
  <si>
    <t>MYL3</t>
  </si>
  <si>
    <t>NF2</t>
  </si>
  <si>
    <t>NF2-related schwannomatosis</t>
  </si>
  <si>
    <t>OTC</t>
  </si>
  <si>
    <t>Ornithine transcarbamylase deficiency</t>
  </si>
  <si>
    <t>PALB2</t>
  </si>
  <si>
    <t>Hereditary breast cancer</t>
  </si>
  <si>
    <t>PCSK9</t>
  </si>
  <si>
    <t>PKP2</t>
  </si>
  <si>
    <t>PLN</t>
  </si>
  <si>
    <t>PMS2</t>
  </si>
  <si>
    <t>PRKAG2</t>
  </si>
  <si>
    <t>PTEN</t>
  </si>
  <si>
    <t>PTEN hamartoma tumor syndrome</t>
  </si>
  <si>
    <t>RB1</t>
  </si>
  <si>
    <t>Retinoblastoma</t>
  </si>
  <si>
    <t>RBM20</t>
  </si>
  <si>
    <t>RET</t>
  </si>
  <si>
    <t>Familial medullary thyroid cancer</t>
  </si>
  <si>
    <t>Multiple endocrine neoplasia type 2A</t>
  </si>
  <si>
    <t>Multiple endocrine neoplasia type 2B</t>
  </si>
  <si>
    <t>RPE65</t>
  </si>
  <si>
    <t>RPE65-related retinopathy</t>
  </si>
  <si>
    <t>204100,  613794</t>
  </si>
  <si>
    <t>RYR1</t>
  </si>
  <si>
    <t>RYR2</t>
  </si>
  <si>
    <t>SCN5A</t>
  </si>
  <si>
    <t>Long QT syndrome type 3</t>
  </si>
  <si>
    <t>Brugada syndrome</t>
  </si>
  <si>
    <t>SDHAF2</t>
  </si>
  <si>
    <t>SDHB</t>
  </si>
  <si>
    <t>115310,  171300</t>
  </si>
  <si>
    <t>SDHC</t>
  </si>
  <si>
    <t>SDHD</t>
  </si>
  <si>
    <t>168000,  171300</t>
  </si>
  <si>
    <t>SMAD3</t>
  </si>
  <si>
    <t>Loeys-Dietz syndrome</t>
  </si>
  <si>
    <t>SMAD4</t>
  </si>
  <si>
    <t>STK11</t>
  </si>
  <si>
    <t>Peutz-Jeghers syndrome</t>
  </si>
  <si>
    <t>TGFBR1</t>
  </si>
  <si>
    <t>TGFBR2</t>
  </si>
  <si>
    <t>TMEM127</t>
  </si>
  <si>
    <t>TMEM43</t>
  </si>
  <si>
    <t>TNNC1</t>
  </si>
  <si>
    <t>TNNI3</t>
  </si>
  <si>
    <t>TNNT2</t>
  </si>
  <si>
    <t>TP53</t>
  </si>
  <si>
    <t>Li-Fraumeni syndrome</t>
  </si>
  <si>
    <t>TPM1</t>
  </si>
  <si>
    <t>TRDN</t>
  </si>
  <si>
    <t>Long QT syndrome</t>
  </si>
  <si>
    <t>TSC1</t>
  </si>
  <si>
    <t>Tuberous sclerosis complex</t>
  </si>
  <si>
    <t>TSC2</t>
  </si>
  <si>
    <t>TTN</t>
  </si>
  <si>
    <t>Dilated cardiomyopathy (truncating variants only)</t>
  </si>
  <si>
    <t>P and LP (truncating variants only)</t>
  </si>
  <si>
    <t>TTR</t>
  </si>
  <si>
    <t>Hereditary transthyretin-related amyloidosis</t>
  </si>
  <si>
    <t>VHL</t>
  </si>
  <si>
    <t>Von Hippel-Lindau syndrome</t>
  </si>
  <si>
    <t>WT1</t>
  </si>
  <si>
    <t>WT1-related Wilms tumor</t>
  </si>
  <si>
    <t>OMIM Code</t>
  </si>
  <si>
    <t>ORPHAcode</t>
  </si>
  <si>
    <t>SNOWMED</t>
  </si>
  <si>
    <t>ORPHA:139396</t>
  </si>
  <si>
    <t>ORPHA:91387</t>
  </si>
  <si>
    <t>ORPHA:774</t>
  </si>
  <si>
    <t>via https://mappings.orphacode.org</t>
  </si>
  <si>
    <t>ORPHA:220460</t>
  </si>
  <si>
    <t>ORPHA:733</t>
  </si>
  <si>
    <t>ORPHA:391665</t>
  </si>
  <si>
    <t>ORPHA:905</t>
  </si>
  <si>
    <t>ORPHA:154</t>
  </si>
  <si>
    <t>ORPHA:199340</t>
  </si>
  <si>
    <t>ORPHA:2929</t>
  </si>
  <si>
    <t>ORPHA:329971</t>
  </si>
  <si>
    <t>ORPHA:145</t>
  </si>
  <si>
    <t>ORPHA:227535</t>
  </si>
  <si>
    <t>ORPHA:79241</t>
  </si>
  <si>
    <t>ORPHA:423</t>
  </si>
  <si>
    <t>ORPHA:101016</t>
  </si>
  <si>
    <t>ORPHA:768</t>
  </si>
  <si>
    <t>ORPHA:3286</t>
  </si>
  <si>
    <t>ORPHA:286</t>
  </si>
  <si>
    <t>ORPHA:909</t>
  </si>
  <si>
    <t>ORPHA:98909</t>
  </si>
  <si>
    <t>ORPHA:217656</t>
  </si>
  <si>
    <t>ORPHA:293888</t>
  </si>
  <si>
    <t>ORPHA:293899</t>
  </si>
  <si>
    <t>ORPHA:293910</t>
  </si>
  <si>
    <t>one-to-one</t>
  </si>
  <si>
    <t>one-to-many</t>
  </si>
  <si>
    <t>many-to-one</t>
  </si>
  <si>
    <t>many-to-one / BTNT</t>
  </si>
  <si>
    <t>one-to-many / NTBT</t>
  </si>
  <si>
    <t>one-to-one / E</t>
  </si>
  <si>
    <t>ORPHA:139396, ORPHA:139399</t>
  </si>
  <si>
    <t>ORPHA:43</t>
  </si>
  <si>
    <t>ORPHA:101016, ORPHA:768</t>
  </si>
  <si>
    <t>ORPHA:293888, ORPHA:293899, ORPHA:293910</t>
  </si>
  <si>
    <t>ORPHA:476096</t>
  </si>
  <si>
    <t>ORPHA:65282</t>
  </si>
  <si>
    <t>ORPHA:558</t>
  </si>
  <si>
    <t>ORPHA:75249</t>
  </si>
  <si>
    <t>ORPHA:171445</t>
  </si>
  <si>
    <t>ORPHA:308552</t>
  </si>
  <si>
    <t>ORPHA:365</t>
  </si>
  <si>
    <t>ORPHA:308552, ORPHA:420429</t>
  </si>
  <si>
    <t>ORPHA:324</t>
  </si>
  <si>
    <t>ORPHA:465508</t>
  </si>
  <si>
    <t>ORPHA:552</t>
  </si>
  <si>
    <t>ORPHA:300751</t>
  </si>
  <si>
    <t>ORPHA:29072</t>
  </si>
  <si>
    <t>ORPHA:652</t>
  </si>
  <si>
    <t>ORPHA:144</t>
  </si>
  <si>
    <t>ORPHA:247798</t>
  </si>
  <si>
    <t>ORPHA:54260</t>
  </si>
  <si>
    <t>ORPHA:634475</t>
  </si>
  <si>
    <t>ORPHA:634475, ORPHA:637</t>
  </si>
  <si>
    <t>ORPHA:664</t>
  </si>
  <si>
    <t>ORPHA:109</t>
  </si>
  <si>
    <t>ORPHA:109, ORPHA:2969, ORPHA:65285</t>
  </si>
  <si>
    <t>ORPHA:201</t>
  </si>
  <si>
    <t>ORPHA:357027</t>
  </si>
  <si>
    <t>ORPHA:357027, ORPHA:357034</t>
  </si>
  <si>
    <t>ORPHA:790</t>
  </si>
  <si>
    <t>ORPHA:653</t>
  </si>
  <si>
    <t>ORPHA:99361</t>
  </si>
  <si>
    <t>ORPHA:247698</t>
  </si>
  <si>
    <t>ORPHA:247709</t>
  </si>
  <si>
    <t>ORPHA:791</t>
  </si>
  <si>
    <t>ORPHA:130</t>
  </si>
  <si>
    <t>ORPHA:284984</t>
  </si>
  <si>
    <t>ORPHA:60030</t>
  </si>
  <si>
    <t>ORPHA:2929, ORPHA:329971, ORPHA:774, ORPHA:79076</t>
  </si>
  <si>
    <t>ORPHA:2869</t>
  </si>
  <si>
    <t>ORPHA:60030, ORPHA:91387</t>
  </si>
  <si>
    <t>ORPHA:284973</t>
  </si>
  <si>
    <t>ORPHA:284973, ORPHA:558</t>
  </si>
  <si>
    <t>ORPHA:524</t>
  </si>
  <si>
    <t>ORPHA:805</t>
  </si>
  <si>
    <t>ORPHA:271861</t>
  </si>
  <si>
    <t>ORPHA:85447</t>
  </si>
  <si>
    <t>ORPHA:85447, ORPHA:85451</t>
  </si>
  <si>
    <t>ORPHA:892</t>
  </si>
  <si>
    <t>ORPHA:654</t>
  </si>
  <si>
    <t>ORPHA:65</t>
  </si>
  <si>
    <t>BTNT indicates ORPHAcode is more broad. NTBT is opposite</t>
  </si>
  <si>
    <t>ORPHA:139399</t>
  </si>
  <si>
    <t>ORPHA:420429</t>
  </si>
  <si>
    <t>ORPHA:637</t>
  </si>
  <si>
    <t>ORPHA:2969</t>
  </si>
  <si>
    <t>ORPHA:65285</t>
  </si>
  <si>
    <t>ORPHA:357034</t>
  </si>
  <si>
    <t>ORPHA:79076</t>
  </si>
  <si>
    <t>ORPHA:85451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</si>
</sst>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scheme val="minor"/>
    </font>
    <font>
      <sz val="16"/>
      <color rgb="FF212529"/>
      <name val="Arial"/>
      <family val="2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16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2F48-E45C-FA4C-8992-D3DB85ABDAF1}">
  <dimension ref="A1:H101"/>
  <sheetViews>
    <sheetView tabSelected="1" workbookViewId="0">
      <selection activeCell="A16" sqref="A16:H21"/>
    </sheetView>
  </sheetViews>
  <sheetFormatPr baseColWidth="10" defaultRowHeight="16" x14ac:dyDescent="0.2"/>
  <cols>
    <col min="3" max="3" width="51" customWidth="1"/>
    <col min="4" max="4" width="32" customWidth="1"/>
    <col min="5" max="5" width="24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300371</v>
      </c>
      <c r="C2" t="s">
        <v>9</v>
      </c>
      <c r="D2">
        <v>300100</v>
      </c>
      <c r="E2" t="s">
        <v>10</v>
      </c>
      <c r="F2" t="s">
        <v>11</v>
      </c>
      <c r="G2">
        <v>3.3</v>
      </c>
      <c r="H2" t="s">
        <v>12</v>
      </c>
    </row>
    <row r="3" spans="1:8" x14ac:dyDescent="0.2">
      <c r="A3" t="s">
        <v>13</v>
      </c>
      <c r="B3">
        <v>102620</v>
      </c>
      <c r="C3" t="s">
        <v>14</v>
      </c>
      <c r="D3">
        <v>611788</v>
      </c>
      <c r="E3" t="s">
        <v>15</v>
      </c>
      <c r="F3" t="s">
        <v>16</v>
      </c>
      <c r="G3">
        <v>1</v>
      </c>
      <c r="H3" t="s">
        <v>17</v>
      </c>
    </row>
    <row r="4" spans="1:8" x14ac:dyDescent="0.2">
      <c r="A4" t="s">
        <v>18</v>
      </c>
      <c r="B4">
        <v>102540</v>
      </c>
      <c r="C4" t="s">
        <v>19</v>
      </c>
      <c r="D4">
        <v>612098</v>
      </c>
      <c r="E4" t="s">
        <v>15</v>
      </c>
      <c r="F4" t="s">
        <v>16</v>
      </c>
      <c r="G4">
        <v>1</v>
      </c>
      <c r="H4" t="s">
        <v>17</v>
      </c>
    </row>
    <row r="5" spans="1:8" x14ac:dyDescent="0.2">
      <c r="A5" t="s">
        <v>20</v>
      </c>
      <c r="B5">
        <v>601284</v>
      </c>
      <c r="C5" t="s">
        <v>21</v>
      </c>
      <c r="D5">
        <v>600376</v>
      </c>
      <c r="E5" t="s">
        <v>22</v>
      </c>
      <c r="F5" t="s">
        <v>16</v>
      </c>
      <c r="G5">
        <v>3</v>
      </c>
      <c r="H5" t="s">
        <v>17</v>
      </c>
    </row>
    <row r="6" spans="1:8" x14ac:dyDescent="0.2">
      <c r="A6" t="s">
        <v>23</v>
      </c>
      <c r="B6">
        <v>611731</v>
      </c>
      <c r="C6" t="s">
        <v>24</v>
      </c>
      <c r="D6">
        <v>175100</v>
      </c>
      <c r="E6" t="s">
        <v>25</v>
      </c>
      <c r="F6" t="s">
        <v>16</v>
      </c>
      <c r="G6">
        <v>1</v>
      </c>
      <c r="H6" t="s">
        <v>17</v>
      </c>
    </row>
    <row r="7" spans="1:8" x14ac:dyDescent="0.2">
      <c r="A7" t="s">
        <v>26</v>
      </c>
      <c r="B7">
        <v>107730</v>
      </c>
      <c r="C7" t="s">
        <v>27</v>
      </c>
      <c r="D7">
        <v>144010</v>
      </c>
      <c r="E7" t="s">
        <v>15</v>
      </c>
      <c r="F7" t="s">
        <v>16</v>
      </c>
      <c r="G7">
        <v>1</v>
      </c>
      <c r="H7" t="s">
        <v>17</v>
      </c>
    </row>
    <row r="8" spans="1:8" x14ac:dyDescent="0.2">
      <c r="A8" t="s">
        <v>28</v>
      </c>
      <c r="B8">
        <v>606882</v>
      </c>
      <c r="C8" t="s">
        <v>29</v>
      </c>
      <c r="D8">
        <v>277900</v>
      </c>
      <c r="E8" t="s">
        <v>22</v>
      </c>
      <c r="F8" t="s">
        <v>30</v>
      </c>
      <c r="G8">
        <v>2</v>
      </c>
      <c r="H8" t="s">
        <v>31</v>
      </c>
    </row>
    <row r="9" spans="1:8" x14ac:dyDescent="0.2">
      <c r="A9" t="s">
        <v>32</v>
      </c>
      <c r="B9">
        <v>603883</v>
      </c>
      <c r="C9" t="s">
        <v>33</v>
      </c>
      <c r="D9">
        <v>613881</v>
      </c>
      <c r="E9" t="s">
        <v>15</v>
      </c>
      <c r="F9" t="s">
        <v>16</v>
      </c>
      <c r="G9">
        <v>3.1</v>
      </c>
      <c r="H9" t="s">
        <v>17</v>
      </c>
    </row>
    <row r="10" spans="1:8" x14ac:dyDescent="0.2">
      <c r="A10" t="s">
        <v>32</v>
      </c>
      <c r="B10">
        <v>603883</v>
      </c>
      <c r="C10" t="s">
        <v>34</v>
      </c>
      <c r="D10">
        <v>612954</v>
      </c>
      <c r="E10" t="s">
        <v>15</v>
      </c>
      <c r="F10" t="s">
        <v>16</v>
      </c>
      <c r="G10">
        <v>3.1</v>
      </c>
      <c r="H10" t="s">
        <v>17</v>
      </c>
    </row>
    <row r="11" spans="1:8" x14ac:dyDescent="0.2">
      <c r="A11" t="s">
        <v>35</v>
      </c>
      <c r="B11">
        <v>601299</v>
      </c>
      <c r="C11" t="s">
        <v>36</v>
      </c>
      <c r="D11">
        <v>174900</v>
      </c>
      <c r="E11" t="s">
        <v>25</v>
      </c>
      <c r="F11" t="s">
        <v>16</v>
      </c>
      <c r="G11">
        <v>1</v>
      </c>
      <c r="H11" t="s">
        <v>17</v>
      </c>
    </row>
    <row r="12" spans="1:8" x14ac:dyDescent="0.2">
      <c r="A12" t="s">
        <v>37</v>
      </c>
      <c r="B12">
        <v>113705</v>
      </c>
      <c r="C12" t="s">
        <v>38</v>
      </c>
      <c r="D12">
        <v>604370</v>
      </c>
      <c r="E12" t="s">
        <v>25</v>
      </c>
      <c r="F12" t="s">
        <v>16</v>
      </c>
      <c r="G12">
        <v>1</v>
      </c>
      <c r="H12" t="s">
        <v>17</v>
      </c>
    </row>
    <row r="13" spans="1:8" x14ac:dyDescent="0.2">
      <c r="A13" t="s">
        <v>39</v>
      </c>
      <c r="B13">
        <v>600185</v>
      </c>
      <c r="C13" t="s">
        <v>38</v>
      </c>
      <c r="D13">
        <v>612555</v>
      </c>
      <c r="E13" t="s">
        <v>25</v>
      </c>
      <c r="F13" t="s">
        <v>16</v>
      </c>
      <c r="G13">
        <v>1</v>
      </c>
      <c r="H13" t="s">
        <v>17</v>
      </c>
    </row>
    <row r="14" spans="1:8" x14ac:dyDescent="0.2">
      <c r="A14" t="s">
        <v>40</v>
      </c>
      <c r="B14">
        <v>609019</v>
      </c>
      <c r="C14" t="s">
        <v>41</v>
      </c>
      <c r="D14">
        <v>253260</v>
      </c>
      <c r="E14" t="s">
        <v>10</v>
      </c>
      <c r="F14" t="s">
        <v>30</v>
      </c>
      <c r="G14">
        <v>3</v>
      </c>
      <c r="H14" t="s">
        <v>31</v>
      </c>
    </row>
    <row r="15" spans="1:8" x14ac:dyDescent="0.2">
      <c r="A15" t="s">
        <v>42</v>
      </c>
      <c r="B15">
        <v>114208</v>
      </c>
      <c r="C15" t="s">
        <v>43</v>
      </c>
      <c r="D15">
        <v>601887</v>
      </c>
      <c r="E15" t="s">
        <v>22</v>
      </c>
      <c r="F15" t="s">
        <v>16</v>
      </c>
      <c r="G15">
        <v>1</v>
      </c>
      <c r="H15" t="s">
        <v>17</v>
      </c>
    </row>
    <row r="16" spans="1:8" x14ac:dyDescent="0.2">
      <c r="A16" t="s">
        <v>44</v>
      </c>
      <c r="B16">
        <v>114180</v>
      </c>
      <c r="C16" t="s">
        <v>45</v>
      </c>
      <c r="D16">
        <v>616247</v>
      </c>
      <c r="E16" t="s">
        <v>15</v>
      </c>
      <c r="F16" t="s">
        <v>16</v>
      </c>
      <c r="G16">
        <v>3.2</v>
      </c>
      <c r="H16" t="s">
        <v>17</v>
      </c>
    </row>
    <row r="17" spans="1:8" x14ac:dyDescent="0.2">
      <c r="A17" t="s">
        <v>44</v>
      </c>
      <c r="B17">
        <v>114180</v>
      </c>
      <c r="C17" t="s">
        <v>46</v>
      </c>
      <c r="D17">
        <v>614916</v>
      </c>
      <c r="E17" t="s">
        <v>15</v>
      </c>
      <c r="F17" t="s">
        <v>16</v>
      </c>
      <c r="G17">
        <v>3.2</v>
      </c>
      <c r="H17" t="s">
        <v>17</v>
      </c>
    </row>
    <row r="18" spans="1:8" x14ac:dyDescent="0.2">
      <c r="A18" t="s">
        <v>47</v>
      </c>
      <c r="B18">
        <v>114182</v>
      </c>
      <c r="C18" t="s">
        <v>48</v>
      </c>
      <c r="D18">
        <v>616249</v>
      </c>
      <c r="E18" t="s">
        <v>15</v>
      </c>
      <c r="F18" t="s">
        <v>16</v>
      </c>
      <c r="G18">
        <v>3.2</v>
      </c>
      <c r="H18" t="s">
        <v>17</v>
      </c>
    </row>
    <row r="19" spans="1:8" x14ac:dyDescent="0.2">
      <c r="A19" t="s">
        <v>47</v>
      </c>
      <c r="B19">
        <v>114182</v>
      </c>
      <c r="C19" t="s">
        <v>46</v>
      </c>
      <c r="D19">
        <v>616249</v>
      </c>
      <c r="E19" t="s">
        <v>15</v>
      </c>
      <c r="F19" t="s">
        <v>16</v>
      </c>
      <c r="G19">
        <v>3.2</v>
      </c>
      <c r="H19" t="s">
        <v>17</v>
      </c>
    </row>
    <row r="20" spans="1:8" x14ac:dyDescent="0.2">
      <c r="A20" t="s">
        <v>49</v>
      </c>
      <c r="B20">
        <v>114183</v>
      </c>
      <c r="C20" t="s">
        <v>50</v>
      </c>
      <c r="D20">
        <v>618782</v>
      </c>
      <c r="E20" t="s">
        <v>15</v>
      </c>
      <c r="F20" t="s">
        <v>16</v>
      </c>
      <c r="G20">
        <v>3.2</v>
      </c>
      <c r="H20" t="s">
        <v>17</v>
      </c>
    </row>
    <row r="21" spans="1:8" x14ac:dyDescent="0.2">
      <c r="A21" t="s">
        <v>49</v>
      </c>
      <c r="B21">
        <v>114183</v>
      </c>
      <c r="C21" t="s">
        <v>46</v>
      </c>
      <c r="D21">
        <v>618782</v>
      </c>
      <c r="E21" t="s">
        <v>15</v>
      </c>
      <c r="F21" t="s">
        <v>16</v>
      </c>
      <c r="G21">
        <v>3.2</v>
      </c>
      <c r="H21" t="s">
        <v>17</v>
      </c>
    </row>
    <row r="22" spans="1:8" x14ac:dyDescent="0.2">
      <c r="A22" t="s">
        <v>51</v>
      </c>
      <c r="B22">
        <v>114251</v>
      </c>
      <c r="C22" t="s">
        <v>46</v>
      </c>
      <c r="D22">
        <v>611938</v>
      </c>
      <c r="E22" t="s">
        <v>15</v>
      </c>
      <c r="F22" t="s">
        <v>30</v>
      </c>
      <c r="G22">
        <v>3</v>
      </c>
      <c r="H22" t="s">
        <v>31</v>
      </c>
    </row>
    <row r="23" spans="1:8" x14ac:dyDescent="0.2">
      <c r="A23" t="s">
        <v>52</v>
      </c>
      <c r="B23">
        <v>120180</v>
      </c>
      <c r="C23" t="s">
        <v>53</v>
      </c>
      <c r="D23">
        <v>130050</v>
      </c>
      <c r="E23" t="s">
        <v>15</v>
      </c>
      <c r="F23" t="s">
        <v>16</v>
      </c>
      <c r="G23">
        <v>1</v>
      </c>
      <c r="H23" t="s">
        <v>17</v>
      </c>
    </row>
    <row r="24" spans="1:8" x14ac:dyDescent="0.2">
      <c r="A24" t="s">
        <v>54</v>
      </c>
      <c r="B24">
        <v>213700</v>
      </c>
      <c r="C24" t="s">
        <v>55</v>
      </c>
      <c r="D24">
        <v>213700</v>
      </c>
      <c r="E24" t="s">
        <v>10</v>
      </c>
      <c r="F24" t="s">
        <v>30</v>
      </c>
      <c r="G24">
        <v>3.3</v>
      </c>
      <c r="H24" t="s">
        <v>31</v>
      </c>
    </row>
    <row r="25" spans="1:8" x14ac:dyDescent="0.2">
      <c r="A25" t="s">
        <v>56</v>
      </c>
      <c r="B25">
        <v>125660</v>
      </c>
      <c r="C25" t="s">
        <v>57</v>
      </c>
      <c r="D25">
        <v>604765</v>
      </c>
      <c r="E25" t="s">
        <v>15</v>
      </c>
      <c r="F25" t="s">
        <v>16</v>
      </c>
      <c r="G25">
        <v>3.1</v>
      </c>
      <c r="H25" t="s">
        <v>17</v>
      </c>
    </row>
    <row r="26" spans="1:8" x14ac:dyDescent="0.2">
      <c r="A26" t="s">
        <v>56</v>
      </c>
      <c r="B26">
        <v>125660</v>
      </c>
      <c r="C26" t="s">
        <v>34</v>
      </c>
      <c r="D26">
        <v>601419</v>
      </c>
      <c r="E26" t="s">
        <v>15</v>
      </c>
      <c r="F26" t="s">
        <v>16</v>
      </c>
      <c r="G26">
        <v>3.1</v>
      </c>
      <c r="H26" t="s">
        <v>17</v>
      </c>
    </row>
    <row r="27" spans="1:8" x14ac:dyDescent="0.2">
      <c r="A27" t="s">
        <v>58</v>
      </c>
      <c r="B27">
        <v>125645</v>
      </c>
      <c r="C27" t="s">
        <v>59</v>
      </c>
      <c r="D27">
        <v>610476</v>
      </c>
      <c r="E27" t="s">
        <v>15</v>
      </c>
      <c r="F27" t="s">
        <v>16</v>
      </c>
      <c r="G27">
        <v>1</v>
      </c>
      <c r="H27" t="s">
        <v>17</v>
      </c>
    </row>
    <row r="28" spans="1:8" x14ac:dyDescent="0.2">
      <c r="A28" t="s">
        <v>60</v>
      </c>
      <c r="B28">
        <v>125671</v>
      </c>
      <c r="C28" t="s">
        <v>59</v>
      </c>
      <c r="D28">
        <v>610193</v>
      </c>
      <c r="E28" t="s">
        <v>15</v>
      </c>
      <c r="F28" t="s">
        <v>16</v>
      </c>
      <c r="G28">
        <v>1</v>
      </c>
      <c r="H28" t="s">
        <v>17</v>
      </c>
    </row>
    <row r="29" spans="1:8" x14ac:dyDescent="0.2">
      <c r="A29" t="s">
        <v>61</v>
      </c>
      <c r="B29">
        <v>125647</v>
      </c>
      <c r="C29" t="s">
        <v>59</v>
      </c>
      <c r="D29">
        <v>607450</v>
      </c>
      <c r="E29" t="s">
        <v>15</v>
      </c>
      <c r="F29" t="s">
        <v>16</v>
      </c>
      <c r="G29">
        <v>1</v>
      </c>
      <c r="H29" t="s">
        <v>17</v>
      </c>
    </row>
    <row r="30" spans="1:8" x14ac:dyDescent="0.2">
      <c r="A30" t="s">
        <v>61</v>
      </c>
      <c r="B30">
        <v>125647</v>
      </c>
      <c r="C30" t="s">
        <v>33</v>
      </c>
      <c r="D30">
        <v>615821</v>
      </c>
      <c r="E30" t="s">
        <v>15</v>
      </c>
      <c r="F30" t="s">
        <v>16</v>
      </c>
      <c r="G30">
        <v>1</v>
      </c>
      <c r="H30" t="s">
        <v>17</v>
      </c>
    </row>
    <row r="31" spans="1:8" x14ac:dyDescent="0.2">
      <c r="A31" t="s">
        <v>62</v>
      </c>
      <c r="B31">
        <v>131195</v>
      </c>
      <c r="C31" t="s">
        <v>21</v>
      </c>
      <c r="D31">
        <v>187300</v>
      </c>
      <c r="E31" t="s">
        <v>22</v>
      </c>
      <c r="F31" t="s">
        <v>16</v>
      </c>
      <c r="G31">
        <v>3</v>
      </c>
      <c r="H31" t="s">
        <v>17</v>
      </c>
    </row>
    <row r="32" spans="1:8" x14ac:dyDescent="0.2">
      <c r="A32" t="s">
        <v>63</v>
      </c>
      <c r="B32">
        <v>134797</v>
      </c>
      <c r="C32" t="s">
        <v>64</v>
      </c>
      <c r="D32">
        <v>154700</v>
      </c>
      <c r="E32" t="s">
        <v>15</v>
      </c>
      <c r="F32" t="s">
        <v>16</v>
      </c>
      <c r="G32">
        <v>1</v>
      </c>
      <c r="H32" t="s">
        <v>17</v>
      </c>
    </row>
    <row r="33" spans="1:8" x14ac:dyDescent="0.2">
      <c r="A33" t="s">
        <v>65</v>
      </c>
      <c r="B33">
        <v>102565</v>
      </c>
      <c r="C33" t="s">
        <v>33</v>
      </c>
      <c r="D33" t="s">
        <v>66</v>
      </c>
      <c r="E33" t="s">
        <v>15</v>
      </c>
      <c r="F33" t="s">
        <v>16</v>
      </c>
      <c r="G33">
        <v>3</v>
      </c>
      <c r="H33" t="s">
        <v>17</v>
      </c>
    </row>
    <row r="34" spans="1:8" x14ac:dyDescent="0.2">
      <c r="A34" t="s">
        <v>65</v>
      </c>
      <c r="B34">
        <v>102565</v>
      </c>
      <c r="C34" t="s">
        <v>19</v>
      </c>
      <c r="D34">
        <v>617047</v>
      </c>
      <c r="E34" t="s">
        <v>15</v>
      </c>
      <c r="F34" t="s">
        <v>16</v>
      </c>
      <c r="G34">
        <v>3</v>
      </c>
      <c r="H34" t="s">
        <v>17</v>
      </c>
    </row>
    <row r="35" spans="1:8" x14ac:dyDescent="0.2">
      <c r="A35" t="s">
        <v>65</v>
      </c>
      <c r="B35">
        <v>102565</v>
      </c>
      <c r="C35" t="s">
        <v>34</v>
      </c>
      <c r="D35">
        <v>609524</v>
      </c>
      <c r="E35" t="s">
        <v>15</v>
      </c>
      <c r="F35" t="s">
        <v>16</v>
      </c>
      <c r="G35">
        <v>3</v>
      </c>
      <c r="H35" t="s">
        <v>17</v>
      </c>
    </row>
    <row r="36" spans="1:8" x14ac:dyDescent="0.2">
      <c r="A36" t="s">
        <v>67</v>
      </c>
      <c r="B36">
        <v>606800</v>
      </c>
      <c r="C36" t="s">
        <v>68</v>
      </c>
      <c r="D36">
        <v>232300</v>
      </c>
      <c r="E36" t="s">
        <v>10</v>
      </c>
      <c r="F36" t="s">
        <v>30</v>
      </c>
      <c r="G36">
        <v>3</v>
      </c>
      <c r="H36" t="s">
        <v>31</v>
      </c>
    </row>
    <row r="37" spans="1:8" x14ac:dyDescent="0.2">
      <c r="A37" t="s">
        <v>69</v>
      </c>
      <c r="B37">
        <v>300644</v>
      </c>
      <c r="C37" t="s">
        <v>70</v>
      </c>
      <c r="D37">
        <v>301500</v>
      </c>
      <c r="E37" t="s">
        <v>71</v>
      </c>
      <c r="F37" t="s">
        <v>11</v>
      </c>
      <c r="G37">
        <v>1</v>
      </c>
      <c r="H37" t="s">
        <v>72</v>
      </c>
    </row>
    <row r="38" spans="1:8" x14ac:dyDescent="0.2">
      <c r="A38" t="s">
        <v>73</v>
      </c>
      <c r="B38">
        <v>613609</v>
      </c>
      <c r="C38" t="s">
        <v>74</v>
      </c>
      <c r="D38">
        <v>235200</v>
      </c>
      <c r="E38" t="s">
        <v>22</v>
      </c>
      <c r="F38" t="s">
        <v>30</v>
      </c>
      <c r="G38">
        <v>3</v>
      </c>
      <c r="H38" t="s">
        <v>75</v>
      </c>
    </row>
    <row r="39" spans="1:8" x14ac:dyDescent="0.2">
      <c r="A39" t="s">
        <v>76</v>
      </c>
      <c r="B39">
        <v>142410</v>
      </c>
      <c r="C39" t="s">
        <v>77</v>
      </c>
      <c r="D39">
        <v>600496</v>
      </c>
      <c r="E39" t="s">
        <v>22</v>
      </c>
      <c r="F39" t="s">
        <v>16</v>
      </c>
      <c r="G39">
        <v>3</v>
      </c>
      <c r="H39" t="s">
        <v>17</v>
      </c>
    </row>
    <row r="40" spans="1:8" x14ac:dyDescent="0.2">
      <c r="A40" t="s">
        <v>78</v>
      </c>
      <c r="B40">
        <v>152427</v>
      </c>
      <c r="C40" t="s">
        <v>79</v>
      </c>
      <c r="D40">
        <v>613688</v>
      </c>
      <c r="E40" t="s">
        <v>15</v>
      </c>
      <c r="F40" t="s">
        <v>16</v>
      </c>
      <c r="G40">
        <v>1</v>
      </c>
      <c r="H40" t="s">
        <v>17</v>
      </c>
    </row>
    <row r="41" spans="1:8" x14ac:dyDescent="0.2">
      <c r="A41" t="s">
        <v>80</v>
      </c>
      <c r="B41">
        <v>607542</v>
      </c>
      <c r="C41" t="s">
        <v>81</v>
      </c>
      <c r="D41">
        <v>192500</v>
      </c>
      <c r="E41" t="s">
        <v>15</v>
      </c>
      <c r="F41" t="s">
        <v>16</v>
      </c>
      <c r="G41">
        <v>1</v>
      </c>
      <c r="H41" t="s">
        <v>17</v>
      </c>
    </row>
    <row r="42" spans="1:8" x14ac:dyDescent="0.2">
      <c r="A42" t="s">
        <v>82</v>
      </c>
      <c r="B42">
        <v>606945</v>
      </c>
      <c r="C42" t="s">
        <v>27</v>
      </c>
      <c r="D42">
        <v>143890</v>
      </c>
      <c r="E42" t="s">
        <v>15</v>
      </c>
      <c r="F42" t="s">
        <v>16</v>
      </c>
      <c r="G42">
        <v>1</v>
      </c>
      <c r="H42" t="s">
        <v>17</v>
      </c>
    </row>
    <row r="43" spans="1:8" x14ac:dyDescent="0.2">
      <c r="A43" t="s">
        <v>83</v>
      </c>
      <c r="B43">
        <v>150330</v>
      </c>
      <c r="C43" t="s">
        <v>33</v>
      </c>
      <c r="D43">
        <v>115200</v>
      </c>
      <c r="E43" t="s">
        <v>15</v>
      </c>
      <c r="F43" t="s">
        <v>16</v>
      </c>
      <c r="G43">
        <v>1</v>
      </c>
      <c r="H43" t="s">
        <v>17</v>
      </c>
    </row>
    <row r="44" spans="1:8" x14ac:dyDescent="0.2">
      <c r="A44" t="s">
        <v>84</v>
      </c>
      <c r="B44">
        <v>154950</v>
      </c>
      <c r="C44" t="s">
        <v>85</v>
      </c>
      <c r="D44">
        <v>171300</v>
      </c>
      <c r="E44" t="s">
        <v>25</v>
      </c>
      <c r="F44" t="s">
        <v>16</v>
      </c>
      <c r="G44">
        <v>3</v>
      </c>
      <c r="H44" t="s">
        <v>17</v>
      </c>
    </row>
    <row r="45" spans="1:8" x14ac:dyDescent="0.2">
      <c r="A45" t="s">
        <v>86</v>
      </c>
      <c r="B45">
        <v>613733</v>
      </c>
      <c r="C45" t="s">
        <v>87</v>
      </c>
      <c r="D45">
        <v>131100</v>
      </c>
      <c r="E45" t="s">
        <v>25</v>
      </c>
      <c r="F45" t="s">
        <v>16</v>
      </c>
      <c r="G45">
        <v>1</v>
      </c>
      <c r="H45" t="s">
        <v>17</v>
      </c>
    </row>
    <row r="46" spans="1:8" x14ac:dyDescent="0.2">
      <c r="A46" t="s">
        <v>88</v>
      </c>
      <c r="B46">
        <v>120436</v>
      </c>
      <c r="C46" t="s">
        <v>89</v>
      </c>
      <c r="D46">
        <v>609310</v>
      </c>
      <c r="E46" t="s">
        <v>25</v>
      </c>
      <c r="F46" t="s">
        <v>16</v>
      </c>
      <c r="G46">
        <v>1</v>
      </c>
      <c r="H46" t="s">
        <v>17</v>
      </c>
    </row>
    <row r="47" spans="1:8" x14ac:dyDescent="0.2">
      <c r="A47" t="s">
        <v>90</v>
      </c>
      <c r="B47">
        <v>609309</v>
      </c>
      <c r="C47" t="s">
        <v>89</v>
      </c>
      <c r="D47">
        <v>120435</v>
      </c>
      <c r="E47" t="s">
        <v>25</v>
      </c>
      <c r="F47" t="s">
        <v>16</v>
      </c>
      <c r="G47">
        <v>1</v>
      </c>
      <c r="H47" t="s">
        <v>17</v>
      </c>
    </row>
    <row r="48" spans="1:8" x14ac:dyDescent="0.2">
      <c r="A48" t="s">
        <v>91</v>
      </c>
      <c r="B48">
        <v>600678</v>
      </c>
      <c r="C48" t="s">
        <v>89</v>
      </c>
      <c r="D48">
        <v>614350</v>
      </c>
      <c r="E48" t="s">
        <v>25</v>
      </c>
      <c r="F48" t="s">
        <v>16</v>
      </c>
      <c r="G48">
        <v>1</v>
      </c>
      <c r="H48" t="s">
        <v>17</v>
      </c>
    </row>
    <row r="49" spans="1:8" x14ac:dyDescent="0.2">
      <c r="A49" t="s">
        <v>92</v>
      </c>
      <c r="B49">
        <v>604933</v>
      </c>
      <c r="C49" t="s">
        <v>93</v>
      </c>
      <c r="D49">
        <v>608456</v>
      </c>
      <c r="E49" t="s">
        <v>25</v>
      </c>
      <c r="F49" t="s">
        <v>30</v>
      </c>
      <c r="G49">
        <v>1</v>
      </c>
      <c r="H49" t="s">
        <v>31</v>
      </c>
    </row>
    <row r="50" spans="1:8" x14ac:dyDescent="0.2">
      <c r="A50" t="s">
        <v>94</v>
      </c>
      <c r="B50">
        <v>600958</v>
      </c>
      <c r="C50" t="s">
        <v>19</v>
      </c>
      <c r="D50">
        <v>115197</v>
      </c>
      <c r="E50" t="s">
        <v>15</v>
      </c>
      <c r="F50" t="s">
        <v>16</v>
      </c>
      <c r="G50">
        <v>1</v>
      </c>
      <c r="H50" t="s">
        <v>17</v>
      </c>
    </row>
    <row r="51" spans="1:8" x14ac:dyDescent="0.2">
      <c r="A51" t="s">
        <v>95</v>
      </c>
      <c r="B51">
        <v>160745</v>
      </c>
      <c r="C51" t="s">
        <v>14</v>
      </c>
      <c r="D51">
        <v>132900</v>
      </c>
      <c r="E51" t="s">
        <v>15</v>
      </c>
      <c r="F51" t="s">
        <v>16</v>
      </c>
      <c r="G51">
        <v>1</v>
      </c>
      <c r="H51" t="s">
        <v>17</v>
      </c>
    </row>
    <row r="52" spans="1:8" x14ac:dyDescent="0.2">
      <c r="A52" t="s">
        <v>96</v>
      </c>
      <c r="B52">
        <v>160760</v>
      </c>
      <c r="C52" t="s">
        <v>19</v>
      </c>
      <c r="D52">
        <v>192600</v>
      </c>
      <c r="E52" t="s">
        <v>15</v>
      </c>
      <c r="F52" t="s">
        <v>16</v>
      </c>
      <c r="G52">
        <v>1</v>
      </c>
      <c r="H52" t="s">
        <v>17</v>
      </c>
    </row>
    <row r="53" spans="1:8" x14ac:dyDescent="0.2">
      <c r="A53" t="s">
        <v>96</v>
      </c>
      <c r="B53">
        <v>160760</v>
      </c>
      <c r="C53" t="s">
        <v>33</v>
      </c>
      <c r="D53">
        <v>613426</v>
      </c>
      <c r="E53" t="s">
        <v>15</v>
      </c>
      <c r="F53" t="s">
        <v>16</v>
      </c>
      <c r="G53">
        <v>1</v>
      </c>
      <c r="H53" t="s">
        <v>17</v>
      </c>
    </row>
    <row r="54" spans="1:8" x14ac:dyDescent="0.2">
      <c r="A54" t="s">
        <v>97</v>
      </c>
      <c r="B54">
        <v>160781</v>
      </c>
      <c r="C54" t="s">
        <v>19</v>
      </c>
      <c r="D54">
        <v>608758</v>
      </c>
      <c r="E54" t="s">
        <v>15</v>
      </c>
      <c r="F54" t="s">
        <v>16</v>
      </c>
      <c r="G54">
        <v>1</v>
      </c>
      <c r="H54" t="s">
        <v>17</v>
      </c>
    </row>
    <row r="55" spans="1:8" x14ac:dyDescent="0.2">
      <c r="A55" t="s">
        <v>98</v>
      </c>
      <c r="B55">
        <v>160790</v>
      </c>
      <c r="C55" t="s">
        <v>19</v>
      </c>
      <c r="D55">
        <v>608751</v>
      </c>
      <c r="E55" t="s">
        <v>15</v>
      </c>
      <c r="F55" t="s">
        <v>16</v>
      </c>
      <c r="G55">
        <v>1</v>
      </c>
      <c r="H55" t="s">
        <v>17</v>
      </c>
    </row>
    <row r="56" spans="1:8" x14ac:dyDescent="0.2">
      <c r="A56" t="s">
        <v>99</v>
      </c>
      <c r="B56">
        <v>607379</v>
      </c>
      <c r="C56" t="s">
        <v>100</v>
      </c>
      <c r="D56">
        <v>101000</v>
      </c>
      <c r="E56" t="s">
        <v>25</v>
      </c>
      <c r="F56" t="s">
        <v>16</v>
      </c>
      <c r="G56">
        <v>1</v>
      </c>
      <c r="H56" t="s">
        <v>17</v>
      </c>
    </row>
    <row r="57" spans="1:8" x14ac:dyDescent="0.2">
      <c r="A57" t="s">
        <v>101</v>
      </c>
      <c r="B57">
        <v>300461</v>
      </c>
      <c r="C57" t="s">
        <v>102</v>
      </c>
      <c r="D57">
        <v>311250</v>
      </c>
      <c r="E57" t="s">
        <v>10</v>
      </c>
      <c r="F57" t="s">
        <v>11</v>
      </c>
      <c r="G57">
        <v>2</v>
      </c>
      <c r="H57" t="s">
        <v>72</v>
      </c>
    </row>
    <row r="58" spans="1:8" x14ac:dyDescent="0.2">
      <c r="A58" t="s">
        <v>103</v>
      </c>
      <c r="B58">
        <v>610355</v>
      </c>
      <c r="C58" t="s">
        <v>104</v>
      </c>
      <c r="D58">
        <v>114480</v>
      </c>
      <c r="E58" t="s">
        <v>25</v>
      </c>
      <c r="F58" t="s">
        <v>16</v>
      </c>
      <c r="G58">
        <v>3</v>
      </c>
      <c r="H58" t="s">
        <v>17</v>
      </c>
    </row>
    <row r="59" spans="1:8" x14ac:dyDescent="0.2">
      <c r="A59" t="s">
        <v>105</v>
      </c>
      <c r="B59">
        <v>607786</v>
      </c>
      <c r="C59" t="s">
        <v>27</v>
      </c>
      <c r="D59">
        <v>603776</v>
      </c>
      <c r="E59" t="s">
        <v>15</v>
      </c>
      <c r="F59" t="s">
        <v>16</v>
      </c>
      <c r="G59">
        <v>1</v>
      </c>
      <c r="H59" t="s">
        <v>17</v>
      </c>
    </row>
    <row r="60" spans="1:8" x14ac:dyDescent="0.2">
      <c r="A60" t="s">
        <v>106</v>
      </c>
      <c r="B60">
        <v>602861</v>
      </c>
      <c r="C60" t="s">
        <v>59</v>
      </c>
      <c r="D60">
        <v>609040</v>
      </c>
      <c r="E60" t="s">
        <v>15</v>
      </c>
      <c r="F60" t="s">
        <v>16</v>
      </c>
      <c r="G60">
        <v>1</v>
      </c>
      <c r="H60" t="s">
        <v>17</v>
      </c>
    </row>
    <row r="61" spans="1:8" x14ac:dyDescent="0.2">
      <c r="A61" t="s">
        <v>107</v>
      </c>
      <c r="B61">
        <v>172405</v>
      </c>
      <c r="C61" t="s">
        <v>33</v>
      </c>
      <c r="D61">
        <v>609909</v>
      </c>
      <c r="E61" t="s">
        <v>15</v>
      </c>
      <c r="F61" t="s">
        <v>16</v>
      </c>
      <c r="G61">
        <v>3.3</v>
      </c>
      <c r="H61" t="s">
        <v>17</v>
      </c>
    </row>
    <row r="62" spans="1:8" x14ac:dyDescent="0.2">
      <c r="A62" t="s">
        <v>108</v>
      </c>
      <c r="B62">
        <v>600259</v>
      </c>
      <c r="C62" t="s">
        <v>89</v>
      </c>
      <c r="D62">
        <v>614337</v>
      </c>
      <c r="E62" t="s">
        <v>25</v>
      </c>
      <c r="F62" t="s">
        <v>16</v>
      </c>
      <c r="G62">
        <v>1</v>
      </c>
      <c r="H62" t="s">
        <v>17</v>
      </c>
    </row>
    <row r="63" spans="1:8" x14ac:dyDescent="0.2">
      <c r="A63" t="s">
        <v>109</v>
      </c>
      <c r="B63">
        <v>602743</v>
      </c>
      <c r="C63" t="s">
        <v>19</v>
      </c>
      <c r="D63">
        <v>600858</v>
      </c>
      <c r="E63" t="s">
        <v>71</v>
      </c>
      <c r="F63" t="s">
        <v>16</v>
      </c>
      <c r="G63">
        <v>1</v>
      </c>
      <c r="H63" t="s">
        <v>17</v>
      </c>
    </row>
    <row r="64" spans="1:8" x14ac:dyDescent="0.2">
      <c r="A64" t="s">
        <v>110</v>
      </c>
      <c r="B64">
        <v>601728</v>
      </c>
      <c r="C64" t="s">
        <v>111</v>
      </c>
      <c r="D64">
        <v>158350</v>
      </c>
      <c r="E64" t="s">
        <v>25</v>
      </c>
      <c r="F64" t="s">
        <v>16</v>
      </c>
      <c r="G64">
        <v>1</v>
      </c>
      <c r="H64" t="s">
        <v>17</v>
      </c>
    </row>
    <row r="65" spans="1:8" x14ac:dyDescent="0.2">
      <c r="A65" t="s">
        <v>112</v>
      </c>
      <c r="B65">
        <v>614041</v>
      </c>
      <c r="C65" t="s">
        <v>113</v>
      </c>
      <c r="D65">
        <v>180200</v>
      </c>
      <c r="E65" t="s">
        <v>25</v>
      </c>
      <c r="F65" t="s">
        <v>16</v>
      </c>
      <c r="G65">
        <v>1</v>
      </c>
      <c r="H65" t="s">
        <v>17</v>
      </c>
    </row>
    <row r="66" spans="1:8" x14ac:dyDescent="0.2">
      <c r="A66" t="s">
        <v>114</v>
      </c>
      <c r="B66">
        <v>613171</v>
      </c>
      <c r="C66" t="s">
        <v>57</v>
      </c>
      <c r="D66">
        <v>613172</v>
      </c>
      <c r="E66" t="s">
        <v>15</v>
      </c>
      <c r="F66" t="s">
        <v>16</v>
      </c>
      <c r="G66">
        <v>3.1</v>
      </c>
      <c r="H66" t="s">
        <v>17</v>
      </c>
    </row>
    <row r="67" spans="1:8" x14ac:dyDescent="0.2">
      <c r="A67" t="s">
        <v>115</v>
      </c>
      <c r="B67">
        <v>164761</v>
      </c>
      <c r="C67" t="s">
        <v>116</v>
      </c>
      <c r="D67">
        <v>155240</v>
      </c>
      <c r="E67" t="s">
        <v>25</v>
      </c>
      <c r="F67" t="s">
        <v>16</v>
      </c>
      <c r="G67">
        <v>1</v>
      </c>
      <c r="H67" t="s">
        <v>17</v>
      </c>
    </row>
    <row r="68" spans="1:8" x14ac:dyDescent="0.2">
      <c r="A68" t="s">
        <v>115</v>
      </c>
      <c r="B68">
        <v>164761</v>
      </c>
      <c r="C68" t="s">
        <v>117</v>
      </c>
      <c r="D68">
        <v>171400</v>
      </c>
      <c r="E68" t="s">
        <v>25</v>
      </c>
      <c r="F68" t="s">
        <v>16</v>
      </c>
      <c r="G68">
        <v>1</v>
      </c>
      <c r="H68" t="s">
        <v>17</v>
      </c>
    </row>
    <row r="69" spans="1:8" x14ac:dyDescent="0.2">
      <c r="A69" t="s">
        <v>115</v>
      </c>
      <c r="B69">
        <v>164761</v>
      </c>
      <c r="C69" t="s">
        <v>118</v>
      </c>
      <c r="D69">
        <v>162300</v>
      </c>
      <c r="E69" t="s">
        <v>25</v>
      </c>
      <c r="F69" t="s">
        <v>16</v>
      </c>
      <c r="G69">
        <v>1</v>
      </c>
      <c r="H69" t="s">
        <v>17</v>
      </c>
    </row>
    <row r="70" spans="1:8" x14ac:dyDescent="0.2">
      <c r="A70" t="s">
        <v>119</v>
      </c>
      <c r="B70">
        <v>180069</v>
      </c>
      <c r="C70" t="s">
        <v>120</v>
      </c>
      <c r="D70" t="s">
        <v>121</v>
      </c>
      <c r="E70" t="s">
        <v>22</v>
      </c>
      <c r="F70" t="s">
        <v>30</v>
      </c>
      <c r="G70">
        <v>3</v>
      </c>
      <c r="H70" t="s">
        <v>31</v>
      </c>
    </row>
    <row r="71" spans="1:8" x14ac:dyDescent="0.2">
      <c r="A71" t="s">
        <v>122</v>
      </c>
      <c r="B71">
        <v>180901</v>
      </c>
      <c r="C71" t="s">
        <v>43</v>
      </c>
      <c r="D71">
        <v>145600</v>
      </c>
      <c r="E71" t="s">
        <v>22</v>
      </c>
      <c r="F71" t="s">
        <v>16</v>
      </c>
      <c r="G71">
        <v>1</v>
      </c>
      <c r="H71" t="s">
        <v>17</v>
      </c>
    </row>
    <row r="72" spans="1:8" x14ac:dyDescent="0.2">
      <c r="A72" t="s">
        <v>123</v>
      </c>
      <c r="B72">
        <v>180902</v>
      </c>
      <c r="C72" t="s">
        <v>46</v>
      </c>
      <c r="D72">
        <v>604772</v>
      </c>
      <c r="E72" t="s">
        <v>15</v>
      </c>
      <c r="F72" t="s">
        <v>16</v>
      </c>
      <c r="G72">
        <v>1</v>
      </c>
      <c r="H72" t="s">
        <v>17</v>
      </c>
    </row>
    <row r="73" spans="1:8" x14ac:dyDescent="0.2">
      <c r="A73" t="s">
        <v>124</v>
      </c>
      <c r="B73">
        <v>600163</v>
      </c>
      <c r="C73" t="s">
        <v>125</v>
      </c>
      <c r="D73">
        <v>603830</v>
      </c>
      <c r="E73" t="s">
        <v>15</v>
      </c>
      <c r="F73" t="s">
        <v>16</v>
      </c>
      <c r="G73">
        <v>1</v>
      </c>
      <c r="H73" t="s">
        <v>17</v>
      </c>
    </row>
    <row r="74" spans="1:8" x14ac:dyDescent="0.2">
      <c r="A74" t="s">
        <v>124</v>
      </c>
      <c r="B74">
        <v>600163</v>
      </c>
      <c r="C74" t="s">
        <v>126</v>
      </c>
      <c r="D74">
        <v>601144</v>
      </c>
      <c r="E74" t="s">
        <v>15</v>
      </c>
      <c r="F74" t="s">
        <v>16</v>
      </c>
      <c r="G74">
        <v>1</v>
      </c>
      <c r="H74" t="s">
        <v>17</v>
      </c>
    </row>
    <row r="75" spans="1:8" x14ac:dyDescent="0.2">
      <c r="A75" t="s">
        <v>124</v>
      </c>
      <c r="B75">
        <v>600163</v>
      </c>
      <c r="C75" t="s">
        <v>33</v>
      </c>
      <c r="D75">
        <v>601154</v>
      </c>
      <c r="E75" t="s">
        <v>15</v>
      </c>
      <c r="F75" t="s">
        <v>16</v>
      </c>
      <c r="G75">
        <v>1</v>
      </c>
      <c r="H75" t="s">
        <v>17</v>
      </c>
    </row>
    <row r="76" spans="1:8" x14ac:dyDescent="0.2">
      <c r="A76" t="s">
        <v>127</v>
      </c>
      <c r="B76">
        <v>613019</v>
      </c>
      <c r="C76" t="s">
        <v>85</v>
      </c>
      <c r="D76">
        <v>601650</v>
      </c>
      <c r="E76" t="s">
        <v>25</v>
      </c>
      <c r="F76" t="s">
        <v>16</v>
      </c>
      <c r="G76">
        <v>1</v>
      </c>
      <c r="H76" t="s">
        <v>17</v>
      </c>
    </row>
    <row r="77" spans="1:8" x14ac:dyDescent="0.2">
      <c r="A77" t="s">
        <v>128</v>
      </c>
      <c r="B77">
        <v>185470</v>
      </c>
      <c r="C77" t="s">
        <v>85</v>
      </c>
      <c r="D77" t="s">
        <v>129</v>
      </c>
      <c r="E77" t="s">
        <v>25</v>
      </c>
      <c r="F77" t="s">
        <v>16</v>
      </c>
      <c r="G77">
        <v>1</v>
      </c>
      <c r="H77" t="s">
        <v>17</v>
      </c>
    </row>
    <row r="78" spans="1:8" x14ac:dyDescent="0.2">
      <c r="A78" t="s">
        <v>130</v>
      </c>
      <c r="B78">
        <v>602413</v>
      </c>
      <c r="C78" t="s">
        <v>85</v>
      </c>
      <c r="D78">
        <v>605373</v>
      </c>
      <c r="E78" t="s">
        <v>25</v>
      </c>
      <c r="F78" t="s">
        <v>16</v>
      </c>
      <c r="G78">
        <v>1</v>
      </c>
      <c r="H78" t="s">
        <v>17</v>
      </c>
    </row>
    <row r="79" spans="1:8" x14ac:dyDescent="0.2">
      <c r="A79" t="s">
        <v>131</v>
      </c>
      <c r="B79">
        <v>602690</v>
      </c>
      <c r="C79" t="s">
        <v>85</v>
      </c>
      <c r="D79" t="s">
        <v>132</v>
      </c>
      <c r="E79" t="s">
        <v>25</v>
      </c>
      <c r="F79" t="s">
        <v>16</v>
      </c>
      <c r="G79">
        <v>1</v>
      </c>
      <c r="H79" t="s">
        <v>17</v>
      </c>
    </row>
    <row r="80" spans="1:8" x14ac:dyDescent="0.2">
      <c r="A80" t="s">
        <v>133</v>
      </c>
      <c r="B80">
        <v>603109</v>
      </c>
      <c r="C80" t="s">
        <v>134</v>
      </c>
      <c r="D80">
        <v>613795</v>
      </c>
      <c r="E80" t="s">
        <v>15</v>
      </c>
      <c r="F80" t="s">
        <v>16</v>
      </c>
      <c r="G80">
        <v>1</v>
      </c>
      <c r="H80" t="s">
        <v>17</v>
      </c>
    </row>
    <row r="81" spans="1:8" x14ac:dyDescent="0.2">
      <c r="A81" t="s">
        <v>135</v>
      </c>
      <c r="B81">
        <v>600993</v>
      </c>
      <c r="C81" t="s">
        <v>36</v>
      </c>
      <c r="D81">
        <v>174900</v>
      </c>
      <c r="E81" t="s">
        <v>25</v>
      </c>
      <c r="F81" t="s">
        <v>16</v>
      </c>
      <c r="G81">
        <v>1</v>
      </c>
      <c r="H81" t="s">
        <v>17</v>
      </c>
    </row>
    <row r="82" spans="1:8" x14ac:dyDescent="0.2">
      <c r="A82" t="s">
        <v>135</v>
      </c>
      <c r="B82">
        <v>600993</v>
      </c>
      <c r="C82" t="s">
        <v>21</v>
      </c>
      <c r="D82">
        <v>175050</v>
      </c>
      <c r="E82" t="s">
        <v>22</v>
      </c>
      <c r="F82" t="s">
        <v>16</v>
      </c>
      <c r="G82">
        <v>1</v>
      </c>
      <c r="H82" t="s">
        <v>17</v>
      </c>
    </row>
    <row r="83" spans="1:8" x14ac:dyDescent="0.2">
      <c r="A83" t="s">
        <v>136</v>
      </c>
      <c r="B83">
        <v>602216</v>
      </c>
      <c r="C83" t="s">
        <v>137</v>
      </c>
      <c r="D83">
        <v>175200</v>
      </c>
      <c r="E83" t="s">
        <v>25</v>
      </c>
      <c r="F83" t="s">
        <v>16</v>
      </c>
      <c r="G83">
        <v>1</v>
      </c>
      <c r="H83" t="s">
        <v>17</v>
      </c>
    </row>
    <row r="84" spans="1:8" x14ac:dyDescent="0.2">
      <c r="A84" t="s">
        <v>138</v>
      </c>
      <c r="B84">
        <v>190181</v>
      </c>
      <c r="C84" t="s">
        <v>134</v>
      </c>
      <c r="D84">
        <v>609192</v>
      </c>
      <c r="E84" t="s">
        <v>15</v>
      </c>
      <c r="F84" t="s">
        <v>16</v>
      </c>
      <c r="G84">
        <v>1</v>
      </c>
      <c r="H84" t="s">
        <v>17</v>
      </c>
    </row>
    <row r="85" spans="1:8" x14ac:dyDescent="0.2">
      <c r="A85" t="s">
        <v>139</v>
      </c>
      <c r="B85">
        <v>190182</v>
      </c>
      <c r="C85" t="s">
        <v>134</v>
      </c>
      <c r="D85">
        <v>610168</v>
      </c>
      <c r="E85" t="s">
        <v>15</v>
      </c>
      <c r="F85" t="s">
        <v>16</v>
      </c>
      <c r="G85">
        <v>1</v>
      </c>
      <c r="H85" t="s">
        <v>17</v>
      </c>
    </row>
    <row r="86" spans="1:8" x14ac:dyDescent="0.2">
      <c r="A86" t="s">
        <v>140</v>
      </c>
      <c r="B86">
        <v>613403</v>
      </c>
      <c r="C86" t="s">
        <v>85</v>
      </c>
      <c r="D86">
        <v>171300</v>
      </c>
      <c r="E86" t="s">
        <v>25</v>
      </c>
      <c r="F86" t="s">
        <v>16</v>
      </c>
      <c r="G86">
        <v>3</v>
      </c>
      <c r="H86" t="s">
        <v>17</v>
      </c>
    </row>
    <row r="87" spans="1:8" x14ac:dyDescent="0.2">
      <c r="A87" t="s">
        <v>141</v>
      </c>
      <c r="B87">
        <v>612048</v>
      </c>
      <c r="C87" t="s">
        <v>59</v>
      </c>
      <c r="D87">
        <v>604400</v>
      </c>
      <c r="E87" t="s">
        <v>15</v>
      </c>
      <c r="F87" t="s">
        <v>16</v>
      </c>
      <c r="G87">
        <v>1</v>
      </c>
      <c r="H87" t="s">
        <v>17</v>
      </c>
    </row>
    <row r="88" spans="1:8" x14ac:dyDescent="0.2">
      <c r="A88" t="s">
        <v>142</v>
      </c>
      <c r="B88">
        <v>191040</v>
      </c>
      <c r="C88" t="s">
        <v>33</v>
      </c>
      <c r="D88">
        <v>611879</v>
      </c>
      <c r="E88" t="s">
        <v>15</v>
      </c>
      <c r="F88" t="s">
        <v>16</v>
      </c>
      <c r="G88">
        <v>3.1</v>
      </c>
      <c r="H88" t="s">
        <v>17</v>
      </c>
    </row>
    <row r="89" spans="1:8" x14ac:dyDescent="0.2">
      <c r="A89" t="s">
        <v>143</v>
      </c>
      <c r="B89">
        <v>191044</v>
      </c>
      <c r="C89" t="s">
        <v>19</v>
      </c>
      <c r="D89">
        <v>613690</v>
      </c>
      <c r="E89" t="s">
        <v>15</v>
      </c>
      <c r="F89" t="s">
        <v>16</v>
      </c>
      <c r="G89">
        <v>1</v>
      </c>
      <c r="H89" t="s">
        <v>17</v>
      </c>
    </row>
    <row r="90" spans="1:8" x14ac:dyDescent="0.2">
      <c r="A90" t="s">
        <v>144</v>
      </c>
      <c r="B90">
        <v>191045</v>
      </c>
      <c r="C90" t="s">
        <v>33</v>
      </c>
      <c r="D90">
        <v>601494</v>
      </c>
      <c r="E90" t="s">
        <v>15</v>
      </c>
      <c r="F90" t="s">
        <v>16</v>
      </c>
      <c r="G90">
        <v>1</v>
      </c>
      <c r="H90" t="s">
        <v>17</v>
      </c>
    </row>
    <row r="91" spans="1:8" x14ac:dyDescent="0.2">
      <c r="A91" t="s">
        <v>144</v>
      </c>
      <c r="B91">
        <v>191045</v>
      </c>
      <c r="C91" t="s">
        <v>19</v>
      </c>
      <c r="D91">
        <v>115195</v>
      </c>
      <c r="E91" t="s">
        <v>15</v>
      </c>
      <c r="F91" t="s">
        <v>16</v>
      </c>
      <c r="G91">
        <v>1</v>
      </c>
      <c r="H91" t="s">
        <v>17</v>
      </c>
    </row>
    <row r="92" spans="1:8" x14ac:dyDescent="0.2">
      <c r="A92" t="s">
        <v>145</v>
      </c>
      <c r="B92">
        <v>191170</v>
      </c>
      <c r="C92" t="s">
        <v>146</v>
      </c>
      <c r="D92">
        <v>151623</v>
      </c>
      <c r="E92" t="s">
        <v>25</v>
      </c>
      <c r="F92" t="s">
        <v>16</v>
      </c>
      <c r="G92">
        <v>1</v>
      </c>
      <c r="H92" t="s">
        <v>17</v>
      </c>
    </row>
    <row r="93" spans="1:8" x14ac:dyDescent="0.2">
      <c r="A93" t="s">
        <v>147</v>
      </c>
      <c r="B93">
        <v>191010</v>
      </c>
      <c r="C93" t="s">
        <v>19</v>
      </c>
      <c r="D93">
        <v>115196</v>
      </c>
      <c r="E93" t="s">
        <v>15</v>
      </c>
      <c r="F93" t="s">
        <v>16</v>
      </c>
      <c r="G93">
        <v>1</v>
      </c>
      <c r="H93" t="s">
        <v>17</v>
      </c>
    </row>
    <row r="94" spans="1:8" x14ac:dyDescent="0.2">
      <c r="A94" t="s">
        <v>148</v>
      </c>
      <c r="B94">
        <v>603283</v>
      </c>
      <c r="C94" t="s">
        <v>46</v>
      </c>
      <c r="D94">
        <v>615441</v>
      </c>
      <c r="E94" t="s">
        <v>15</v>
      </c>
      <c r="F94" t="s">
        <v>30</v>
      </c>
      <c r="G94">
        <v>3</v>
      </c>
      <c r="H94" t="s">
        <v>17</v>
      </c>
    </row>
    <row r="95" spans="1:8" x14ac:dyDescent="0.2">
      <c r="A95" t="s">
        <v>148</v>
      </c>
      <c r="B95">
        <v>603283</v>
      </c>
      <c r="C95" t="s">
        <v>149</v>
      </c>
      <c r="D95" t="s">
        <v>66</v>
      </c>
      <c r="E95" t="s">
        <v>15</v>
      </c>
      <c r="F95" t="s">
        <v>30</v>
      </c>
      <c r="G95">
        <v>3</v>
      </c>
      <c r="H95" t="s">
        <v>17</v>
      </c>
    </row>
    <row r="96" spans="1:8" x14ac:dyDescent="0.2">
      <c r="A96" t="s">
        <v>150</v>
      </c>
      <c r="B96">
        <v>605284</v>
      </c>
      <c r="C96" t="s">
        <v>151</v>
      </c>
      <c r="D96">
        <v>191100</v>
      </c>
      <c r="E96" t="s">
        <v>25</v>
      </c>
      <c r="F96" t="s">
        <v>16</v>
      </c>
      <c r="G96">
        <v>1</v>
      </c>
      <c r="H96" t="s">
        <v>17</v>
      </c>
    </row>
    <row r="97" spans="1:8" x14ac:dyDescent="0.2">
      <c r="A97" t="s">
        <v>152</v>
      </c>
      <c r="B97">
        <v>191092</v>
      </c>
      <c r="C97" t="s">
        <v>151</v>
      </c>
      <c r="D97">
        <v>613254</v>
      </c>
      <c r="E97" t="s">
        <v>25</v>
      </c>
      <c r="F97" t="s">
        <v>16</v>
      </c>
      <c r="G97">
        <v>1</v>
      </c>
      <c r="H97" t="s">
        <v>17</v>
      </c>
    </row>
    <row r="98" spans="1:8" x14ac:dyDescent="0.2">
      <c r="A98" t="s">
        <v>153</v>
      </c>
      <c r="B98">
        <v>188840</v>
      </c>
      <c r="C98" t="s">
        <v>154</v>
      </c>
      <c r="D98">
        <v>604145</v>
      </c>
      <c r="E98" t="s">
        <v>15</v>
      </c>
      <c r="F98" t="s">
        <v>16</v>
      </c>
      <c r="G98">
        <v>3</v>
      </c>
      <c r="H98" t="s">
        <v>155</v>
      </c>
    </row>
    <row r="99" spans="1:8" x14ac:dyDescent="0.2">
      <c r="A99" t="s">
        <v>156</v>
      </c>
      <c r="B99">
        <v>176300</v>
      </c>
      <c r="C99" t="s">
        <v>157</v>
      </c>
      <c r="D99">
        <v>105210</v>
      </c>
      <c r="E99" t="s">
        <v>22</v>
      </c>
      <c r="F99" t="s">
        <v>16</v>
      </c>
      <c r="G99">
        <v>3.1</v>
      </c>
      <c r="H99" t="s">
        <v>17</v>
      </c>
    </row>
    <row r="100" spans="1:8" x14ac:dyDescent="0.2">
      <c r="A100" t="s">
        <v>158</v>
      </c>
      <c r="B100">
        <v>608537</v>
      </c>
      <c r="C100" t="s">
        <v>159</v>
      </c>
      <c r="D100">
        <v>193300</v>
      </c>
      <c r="E100" t="s">
        <v>25</v>
      </c>
      <c r="F100" t="s">
        <v>16</v>
      </c>
      <c r="G100">
        <v>1</v>
      </c>
      <c r="H100" t="s">
        <v>17</v>
      </c>
    </row>
    <row r="101" spans="1:8" x14ac:dyDescent="0.2">
      <c r="A101" t="s">
        <v>160</v>
      </c>
      <c r="B101">
        <v>607102</v>
      </c>
      <c r="C101" t="s">
        <v>161</v>
      </c>
      <c r="D101">
        <v>194070</v>
      </c>
      <c r="E101" t="s">
        <v>25</v>
      </c>
      <c r="F101" t="s">
        <v>16</v>
      </c>
      <c r="G101">
        <v>1</v>
      </c>
      <c r="H1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986C-9912-DA46-AD84-78593814E572}">
  <dimension ref="A1:G97"/>
  <sheetViews>
    <sheetView workbookViewId="0">
      <selection activeCell="C1" sqref="C1"/>
    </sheetView>
  </sheetViews>
  <sheetFormatPr baseColWidth="10" defaultRowHeight="16" x14ac:dyDescent="0.2"/>
  <cols>
    <col min="1" max="1" width="14" customWidth="1"/>
    <col min="2" max="2" width="23.1640625" customWidth="1"/>
    <col min="3" max="3" width="38.83203125" customWidth="1"/>
    <col min="4" max="4" width="49.1640625" customWidth="1"/>
    <col min="5" max="7" width="19.5" customWidth="1"/>
  </cols>
  <sheetData>
    <row r="1" spans="1:7" x14ac:dyDescent="0.2">
      <c r="A1" t="s">
        <v>162</v>
      </c>
      <c r="B1" t="s">
        <v>163</v>
      </c>
      <c r="C1" t="s">
        <v>168</v>
      </c>
      <c r="D1" t="s">
        <v>248</v>
      </c>
      <c r="E1" t="s">
        <v>164</v>
      </c>
    </row>
    <row r="2" spans="1:7" x14ac:dyDescent="0.2">
      <c r="B2" s="3" t="s">
        <v>196</v>
      </c>
      <c r="C2" t="s">
        <v>195</v>
      </c>
      <c r="D2" t="s">
        <v>194</v>
      </c>
      <c r="E2" s="3" t="s">
        <v>191</v>
      </c>
      <c r="F2" t="s">
        <v>192</v>
      </c>
      <c r="G2" t="s">
        <v>193</v>
      </c>
    </row>
    <row r="3" spans="1:7" ht="20" x14ac:dyDescent="0.2">
      <c r="A3" s="1">
        <v>300100</v>
      </c>
      <c r="B3" s="2" t="s">
        <v>198</v>
      </c>
      <c r="C3" s="2" t="s">
        <v>197</v>
      </c>
    </row>
    <row r="4" spans="1:7" ht="20" x14ac:dyDescent="0.2">
      <c r="A4" s="1">
        <v>611788</v>
      </c>
      <c r="B4" s="2"/>
      <c r="D4" s="2" t="s">
        <v>166</v>
      </c>
    </row>
    <row r="5" spans="1:7" ht="19" customHeight="1" x14ac:dyDescent="0.2">
      <c r="A5" s="1">
        <v>612098</v>
      </c>
    </row>
    <row r="6" spans="1:7" ht="20" x14ac:dyDescent="0.2">
      <c r="A6" s="1">
        <v>600376</v>
      </c>
      <c r="B6" s="2"/>
      <c r="D6" s="2" t="s">
        <v>167</v>
      </c>
    </row>
    <row r="7" spans="1:7" ht="20" x14ac:dyDescent="0.2">
      <c r="A7" s="1">
        <v>175100</v>
      </c>
      <c r="B7" s="2"/>
      <c r="C7" s="2" t="s">
        <v>169</v>
      </c>
    </row>
    <row r="8" spans="1:7" ht="20" x14ac:dyDescent="0.2">
      <c r="A8" s="1">
        <v>144010</v>
      </c>
      <c r="B8" s="2"/>
      <c r="D8" s="2" t="s">
        <v>171</v>
      </c>
    </row>
    <row r="9" spans="1:7" ht="20" x14ac:dyDescent="0.2">
      <c r="A9" s="1">
        <v>277900</v>
      </c>
      <c r="B9" s="2" t="s">
        <v>172</v>
      </c>
    </row>
    <row r="10" spans="1:7" ht="20" x14ac:dyDescent="0.2">
      <c r="A10" s="1">
        <v>613881</v>
      </c>
      <c r="B10" s="2"/>
      <c r="D10" s="2" t="s">
        <v>173</v>
      </c>
    </row>
    <row r="11" spans="1:7" ht="20" x14ac:dyDescent="0.2">
      <c r="A11" s="1">
        <v>612954</v>
      </c>
      <c r="B11" s="2" t="s">
        <v>174</v>
      </c>
    </row>
    <row r="12" spans="1:7" ht="20" x14ac:dyDescent="0.2">
      <c r="A12" s="1">
        <v>174900</v>
      </c>
      <c r="B12" s="2" t="s">
        <v>176</v>
      </c>
      <c r="C12" s="2"/>
      <c r="D12" s="2" t="s">
        <v>175</v>
      </c>
    </row>
    <row r="13" spans="1:7" ht="20" x14ac:dyDescent="0.2">
      <c r="A13" s="1">
        <v>604370</v>
      </c>
      <c r="B13" s="2"/>
      <c r="C13" s="2"/>
      <c r="D13" s="2" t="s">
        <v>177</v>
      </c>
    </row>
    <row r="14" spans="1:7" ht="20" x14ac:dyDescent="0.2">
      <c r="A14" s="1">
        <v>612555</v>
      </c>
      <c r="B14" s="2"/>
      <c r="C14" s="2" t="s">
        <v>178</v>
      </c>
      <c r="D14" s="2" t="s">
        <v>177</v>
      </c>
    </row>
    <row r="15" spans="1:7" ht="20" x14ac:dyDescent="0.2">
      <c r="A15" s="1">
        <v>253260</v>
      </c>
      <c r="B15" s="2" t="s">
        <v>179</v>
      </c>
    </row>
    <row r="16" spans="1:7" ht="20" x14ac:dyDescent="0.2">
      <c r="A16" s="1">
        <v>601887</v>
      </c>
      <c r="B16" s="2"/>
      <c r="D16" s="2" t="s">
        <v>180</v>
      </c>
    </row>
    <row r="17" spans="1:5" ht="20" x14ac:dyDescent="0.2">
      <c r="A17" s="1">
        <v>616247</v>
      </c>
      <c r="B17" s="2"/>
      <c r="C17" s="2"/>
      <c r="D17" s="2" t="s">
        <v>199</v>
      </c>
    </row>
    <row r="18" spans="1:5" ht="20" x14ac:dyDescent="0.2">
      <c r="A18" s="1">
        <v>614916</v>
      </c>
      <c r="B18" s="2"/>
      <c r="D18" s="2" t="s">
        <v>183</v>
      </c>
    </row>
    <row r="19" spans="1:5" ht="20" x14ac:dyDescent="0.2">
      <c r="A19" s="1">
        <v>616249</v>
      </c>
      <c r="B19" s="2"/>
      <c r="C19" s="2"/>
      <c r="D19" s="2" t="s">
        <v>199</v>
      </c>
    </row>
    <row r="20" spans="1:5" ht="23" customHeight="1" x14ac:dyDescent="0.2">
      <c r="A20" s="1">
        <v>618782</v>
      </c>
    </row>
    <row r="21" spans="1:5" ht="20" x14ac:dyDescent="0.2">
      <c r="A21" s="1">
        <v>611938</v>
      </c>
      <c r="B21" s="2"/>
      <c r="D21" s="2" t="s">
        <v>183</v>
      </c>
    </row>
    <row r="22" spans="1:5" ht="20" x14ac:dyDescent="0.2">
      <c r="A22" s="1">
        <v>130050</v>
      </c>
      <c r="B22" s="2" t="s">
        <v>184</v>
      </c>
    </row>
    <row r="23" spans="1:5" ht="20" x14ac:dyDescent="0.2">
      <c r="A23" s="1">
        <v>213700</v>
      </c>
      <c r="B23" s="2" t="s">
        <v>185</v>
      </c>
    </row>
    <row r="24" spans="1:5" ht="20" x14ac:dyDescent="0.2">
      <c r="A24" s="1">
        <v>604765</v>
      </c>
      <c r="B24" s="2"/>
      <c r="D24" s="2" t="s">
        <v>173</v>
      </c>
    </row>
    <row r="25" spans="1:5" ht="20" x14ac:dyDescent="0.2">
      <c r="A25" s="1">
        <v>601419</v>
      </c>
      <c r="B25" s="2" t="s">
        <v>186</v>
      </c>
    </row>
    <row r="26" spans="1:5" ht="20" x14ac:dyDescent="0.2">
      <c r="A26" s="1">
        <v>610476</v>
      </c>
      <c r="B26" s="2"/>
      <c r="D26" s="2" t="s">
        <v>187</v>
      </c>
    </row>
    <row r="27" spans="1:5" ht="20" x14ac:dyDescent="0.2">
      <c r="A27" s="1">
        <v>610193</v>
      </c>
      <c r="B27" s="2"/>
      <c r="C27" s="2" t="s">
        <v>200</v>
      </c>
      <c r="D27" s="2" t="s">
        <v>187</v>
      </c>
      <c r="E27" s="2"/>
    </row>
    <row r="28" spans="1:5" ht="20" x14ac:dyDescent="0.2">
      <c r="A28" s="1">
        <v>607450</v>
      </c>
      <c r="D28" s="2" t="s">
        <v>187</v>
      </c>
    </row>
    <row r="29" spans="1:5" ht="20" x14ac:dyDescent="0.2">
      <c r="A29" s="1">
        <v>615821</v>
      </c>
      <c r="B29" s="2" t="s">
        <v>201</v>
      </c>
      <c r="D29" s="2" t="s">
        <v>202</v>
      </c>
    </row>
    <row r="30" spans="1:5" ht="20" x14ac:dyDescent="0.2">
      <c r="A30" s="1">
        <v>187300</v>
      </c>
      <c r="D30" s="2" t="s">
        <v>167</v>
      </c>
    </row>
    <row r="31" spans="1:5" ht="20" x14ac:dyDescent="0.2">
      <c r="A31" s="1">
        <v>154700</v>
      </c>
      <c r="D31" s="2" t="s">
        <v>203</v>
      </c>
    </row>
    <row r="32" spans="1:5" ht="20" x14ac:dyDescent="0.2">
      <c r="A32" s="1">
        <v>617047</v>
      </c>
      <c r="C32" s="2" t="s">
        <v>204</v>
      </c>
    </row>
    <row r="33" spans="1:4" ht="20" x14ac:dyDescent="0.2">
      <c r="A33" s="1">
        <v>609524</v>
      </c>
      <c r="B33" s="2" t="s">
        <v>205</v>
      </c>
    </row>
    <row r="34" spans="1:4" ht="20" x14ac:dyDescent="0.2">
      <c r="A34" s="1">
        <v>232300</v>
      </c>
      <c r="B34" s="2" t="s">
        <v>207</v>
      </c>
      <c r="C34" s="2" t="s">
        <v>208</v>
      </c>
    </row>
    <row r="35" spans="1:4" ht="20" x14ac:dyDescent="0.2">
      <c r="A35" s="1">
        <v>301500</v>
      </c>
      <c r="B35" s="2" t="s">
        <v>209</v>
      </c>
    </row>
    <row r="36" spans="1:4" ht="20" x14ac:dyDescent="0.2">
      <c r="A36" s="1">
        <v>235200</v>
      </c>
      <c r="C36" s="2" t="s">
        <v>210</v>
      </c>
    </row>
    <row r="37" spans="1:4" ht="20" x14ac:dyDescent="0.2">
      <c r="A37" s="1">
        <v>600496</v>
      </c>
      <c r="D37" s="2" t="s">
        <v>211</v>
      </c>
    </row>
    <row r="38" spans="1:4" ht="20" x14ac:dyDescent="0.2">
      <c r="A38" s="1">
        <v>613688</v>
      </c>
      <c r="D38" s="2" t="s">
        <v>199</v>
      </c>
    </row>
    <row r="39" spans="1:4" ht="20" x14ac:dyDescent="0.2">
      <c r="A39" s="1">
        <v>192500</v>
      </c>
      <c r="B39" s="2" t="s">
        <v>181</v>
      </c>
      <c r="D39" s="2" t="s">
        <v>182</v>
      </c>
    </row>
    <row r="40" spans="1:4" ht="20" x14ac:dyDescent="0.2">
      <c r="A40" s="1">
        <v>143890</v>
      </c>
      <c r="C40" s="2" t="s">
        <v>171</v>
      </c>
    </row>
    <row r="41" spans="1:4" ht="20" x14ac:dyDescent="0.2">
      <c r="A41" s="1">
        <v>115200</v>
      </c>
      <c r="B41" s="2" t="s">
        <v>212</v>
      </c>
      <c r="D41" s="2" t="s">
        <v>173</v>
      </c>
    </row>
    <row r="42" spans="1:4" ht="20" x14ac:dyDescent="0.2">
      <c r="A42" s="1">
        <v>171300</v>
      </c>
      <c r="D42" s="2" t="s">
        <v>213</v>
      </c>
    </row>
    <row r="43" spans="1:4" ht="20" x14ac:dyDescent="0.2">
      <c r="A43" s="1">
        <v>131100</v>
      </c>
      <c r="B43" s="2" t="s">
        <v>214</v>
      </c>
    </row>
    <row r="44" spans="1:4" ht="20" x14ac:dyDescent="0.2">
      <c r="A44" s="1">
        <v>609310</v>
      </c>
      <c r="D44" s="2" t="s">
        <v>215</v>
      </c>
    </row>
    <row r="45" spans="1:4" ht="20" x14ac:dyDescent="0.2">
      <c r="A45" s="1">
        <v>120435</v>
      </c>
      <c r="B45" s="2" t="s">
        <v>215</v>
      </c>
    </row>
    <row r="46" spans="1:4" ht="20" x14ac:dyDescent="0.2">
      <c r="A46" s="1">
        <v>614350</v>
      </c>
      <c r="D46" s="2" t="s">
        <v>215</v>
      </c>
    </row>
    <row r="47" spans="1:4" ht="20" x14ac:dyDescent="0.2">
      <c r="A47" s="1">
        <v>608456</v>
      </c>
      <c r="B47" s="2" t="s">
        <v>216</v>
      </c>
      <c r="D47" s="2" t="s">
        <v>170</v>
      </c>
    </row>
    <row r="48" spans="1:4" x14ac:dyDescent="0.2">
      <c r="A48" s="1">
        <v>115197</v>
      </c>
    </row>
    <row r="49" spans="1:4" ht="20" x14ac:dyDescent="0.2">
      <c r="A49" s="1">
        <v>132900</v>
      </c>
      <c r="D49" s="2" t="s">
        <v>166</v>
      </c>
    </row>
    <row r="50" spans="1:4" x14ac:dyDescent="0.2">
      <c r="A50" s="1">
        <v>192600</v>
      </c>
    </row>
    <row r="51" spans="1:4" ht="20" x14ac:dyDescent="0.2">
      <c r="A51" s="1">
        <v>613426</v>
      </c>
      <c r="C51" s="2" t="s">
        <v>217</v>
      </c>
      <c r="D51" s="2" t="s">
        <v>173</v>
      </c>
    </row>
    <row r="52" spans="1:4" x14ac:dyDescent="0.2">
      <c r="A52" s="1">
        <v>608758</v>
      </c>
    </row>
    <row r="53" spans="1:4" x14ac:dyDescent="0.2">
      <c r="A53" s="1">
        <v>608751</v>
      </c>
    </row>
    <row r="54" spans="1:4" ht="20" x14ac:dyDescent="0.2">
      <c r="A54" s="1">
        <v>101000</v>
      </c>
      <c r="C54" s="2" t="s">
        <v>219</v>
      </c>
    </row>
    <row r="55" spans="1:4" ht="20" x14ac:dyDescent="0.2">
      <c r="A55" s="1">
        <v>311250</v>
      </c>
      <c r="B55" s="2" t="s">
        <v>220</v>
      </c>
    </row>
    <row r="56" spans="1:4" ht="20" x14ac:dyDescent="0.2">
      <c r="A56" s="1">
        <v>114480</v>
      </c>
      <c r="C56" s="2" t="s">
        <v>178</v>
      </c>
    </row>
    <row r="57" spans="1:4" ht="20" x14ac:dyDescent="0.2">
      <c r="A57" s="1">
        <v>603776</v>
      </c>
      <c r="D57" s="2" t="s">
        <v>171</v>
      </c>
    </row>
    <row r="58" spans="1:4" ht="20" x14ac:dyDescent="0.2">
      <c r="A58" s="1">
        <v>609040</v>
      </c>
      <c r="D58" s="2" t="s">
        <v>187</v>
      </c>
    </row>
    <row r="59" spans="1:4" ht="20" x14ac:dyDescent="0.2">
      <c r="A59" s="1">
        <v>609909</v>
      </c>
      <c r="D59" s="2" t="s">
        <v>173</v>
      </c>
    </row>
    <row r="60" spans="1:4" ht="20" x14ac:dyDescent="0.2">
      <c r="A60" s="1">
        <v>614337</v>
      </c>
      <c r="D60" s="2" t="s">
        <v>215</v>
      </c>
    </row>
    <row r="61" spans="1:4" x14ac:dyDescent="0.2">
      <c r="A61" s="1">
        <v>600858</v>
      </c>
    </row>
    <row r="62" spans="1:4" ht="20" x14ac:dyDescent="0.2">
      <c r="A62" s="1">
        <v>158350</v>
      </c>
      <c r="C62" s="2" t="s">
        <v>222</v>
      </c>
      <c r="D62" s="2" t="s">
        <v>223</v>
      </c>
    </row>
    <row r="63" spans="1:4" ht="20" x14ac:dyDescent="0.2">
      <c r="A63" s="1">
        <v>180200</v>
      </c>
      <c r="B63" s="2" t="s">
        <v>226</v>
      </c>
      <c r="C63" s="2" t="s">
        <v>225</v>
      </c>
    </row>
    <row r="64" spans="1:4" ht="20" x14ac:dyDescent="0.2">
      <c r="A64" s="1">
        <v>613172</v>
      </c>
      <c r="D64" s="2" t="s">
        <v>173</v>
      </c>
    </row>
    <row r="65" spans="1:4" ht="20" x14ac:dyDescent="0.2">
      <c r="A65" s="1">
        <v>155240</v>
      </c>
      <c r="C65" s="2" t="s">
        <v>228</v>
      </c>
      <c r="D65" s="2" t="s">
        <v>227</v>
      </c>
    </row>
    <row r="66" spans="1:4" ht="20" x14ac:dyDescent="0.2">
      <c r="A66" s="1">
        <v>171400</v>
      </c>
      <c r="B66" s="2" t="s">
        <v>229</v>
      </c>
      <c r="D66" s="2" t="s">
        <v>227</v>
      </c>
    </row>
    <row r="67" spans="1:4" ht="20" x14ac:dyDescent="0.2">
      <c r="A67" s="1">
        <v>162300</v>
      </c>
      <c r="B67" s="2" t="s">
        <v>230</v>
      </c>
      <c r="D67" s="2" t="s">
        <v>227</v>
      </c>
    </row>
    <row r="68" spans="1:4" ht="20" x14ac:dyDescent="0.2">
      <c r="A68" s="1">
        <v>613794</v>
      </c>
      <c r="D68" s="2" t="s">
        <v>231</v>
      </c>
    </row>
    <row r="69" spans="1:4" ht="20" x14ac:dyDescent="0.2">
      <c r="A69" s="1">
        <v>145600</v>
      </c>
      <c r="B69" s="2" t="s">
        <v>180</v>
      </c>
    </row>
    <row r="70" spans="1:4" ht="20" x14ac:dyDescent="0.2">
      <c r="A70" s="1">
        <v>604772</v>
      </c>
      <c r="B70" s="2" t="s">
        <v>183</v>
      </c>
    </row>
    <row r="71" spans="1:4" ht="20" x14ac:dyDescent="0.2">
      <c r="A71" s="1">
        <v>603830</v>
      </c>
      <c r="D71" s="2" t="s">
        <v>199</v>
      </c>
    </row>
    <row r="72" spans="1:4" ht="20" x14ac:dyDescent="0.2">
      <c r="A72" s="1">
        <v>601144</v>
      </c>
      <c r="B72" s="2" t="s">
        <v>232</v>
      </c>
    </row>
    <row r="73" spans="1:4" ht="20" x14ac:dyDescent="0.2">
      <c r="A73" s="1">
        <v>601154</v>
      </c>
      <c r="D73" s="2" t="s">
        <v>173</v>
      </c>
    </row>
    <row r="74" spans="1:4" ht="20" x14ac:dyDescent="0.2">
      <c r="A74" s="1">
        <v>601650</v>
      </c>
      <c r="D74" s="2" t="s">
        <v>213</v>
      </c>
    </row>
    <row r="75" spans="1:4" ht="20" x14ac:dyDescent="0.2">
      <c r="A75" s="1">
        <v>605373</v>
      </c>
      <c r="D75" s="2" t="s">
        <v>213</v>
      </c>
    </row>
    <row r="76" spans="1:4" ht="20" x14ac:dyDescent="0.2">
      <c r="A76" s="1">
        <v>613795</v>
      </c>
      <c r="B76" s="2" t="s">
        <v>233</v>
      </c>
      <c r="D76" s="2" t="s">
        <v>234</v>
      </c>
    </row>
    <row r="77" spans="1:4" ht="20" x14ac:dyDescent="0.2">
      <c r="A77" s="1">
        <v>175050</v>
      </c>
      <c r="C77" s="2" t="s">
        <v>235</v>
      </c>
    </row>
    <row r="78" spans="1:4" ht="20" x14ac:dyDescent="0.2">
      <c r="A78" s="1">
        <v>175200</v>
      </c>
      <c r="B78" s="2" t="s">
        <v>236</v>
      </c>
    </row>
    <row r="79" spans="1:4" ht="20" x14ac:dyDescent="0.2">
      <c r="A79" s="1">
        <v>609192</v>
      </c>
      <c r="D79" s="2" t="s">
        <v>237</v>
      </c>
    </row>
    <row r="80" spans="1:4" ht="20" x14ac:dyDescent="0.2">
      <c r="A80" s="1">
        <v>610168</v>
      </c>
      <c r="C80" s="2" t="s">
        <v>239</v>
      </c>
      <c r="D80" s="2" t="s">
        <v>237</v>
      </c>
    </row>
    <row r="81" spans="1:4" ht="20" x14ac:dyDescent="0.2">
      <c r="A81" s="1">
        <v>604400</v>
      </c>
      <c r="C81" s="2"/>
      <c r="D81" s="2" t="s">
        <v>187</v>
      </c>
    </row>
    <row r="82" spans="1:4" ht="20" x14ac:dyDescent="0.2">
      <c r="A82" s="1">
        <v>611879</v>
      </c>
      <c r="D82" s="2" t="s">
        <v>173</v>
      </c>
    </row>
    <row r="83" spans="1:4" x14ac:dyDescent="0.2">
      <c r="A83" s="1">
        <v>613690</v>
      </c>
    </row>
    <row r="84" spans="1:4" ht="20" x14ac:dyDescent="0.2">
      <c r="A84" s="1">
        <v>601494</v>
      </c>
      <c r="C84" s="2" t="s">
        <v>217</v>
      </c>
      <c r="D84" s="2" t="s">
        <v>173</v>
      </c>
    </row>
    <row r="85" spans="1:4" x14ac:dyDescent="0.2">
      <c r="A85" s="1">
        <v>115195</v>
      </c>
    </row>
    <row r="86" spans="1:4" ht="20" x14ac:dyDescent="0.2">
      <c r="A86" s="1">
        <v>151623</v>
      </c>
      <c r="D86" s="2" t="s">
        <v>240</v>
      </c>
    </row>
    <row r="87" spans="1:4" x14ac:dyDescent="0.2">
      <c r="A87" s="1">
        <v>115196</v>
      </c>
    </row>
    <row r="88" spans="1:4" ht="20" x14ac:dyDescent="0.2">
      <c r="A88" s="1">
        <v>615441</v>
      </c>
      <c r="D88" s="2" t="s">
        <v>183</v>
      </c>
    </row>
    <row r="89" spans="1:4" ht="20" x14ac:dyDescent="0.2">
      <c r="A89" s="1">
        <v>191100</v>
      </c>
      <c r="D89" s="2" t="s">
        <v>241</v>
      </c>
    </row>
    <row r="90" spans="1:4" ht="20" x14ac:dyDescent="0.2">
      <c r="A90" s="1">
        <v>613254</v>
      </c>
      <c r="D90" s="2" t="s">
        <v>241</v>
      </c>
    </row>
    <row r="91" spans="1:4" ht="20" x14ac:dyDescent="0.2">
      <c r="A91" s="1">
        <v>604145</v>
      </c>
      <c r="D91" s="2" t="s">
        <v>173</v>
      </c>
    </row>
    <row r="92" spans="1:4" ht="20" x14ac:dyDescent="0.2">
      <c r="A92" s="1">
        <v>105210</v>
      </c>
      <c r="B92" s="2" t="s">
        <v>242</v>
      </c>
      <c r="C92" s="2" t="s">
        <v>244</v>
      </c>
    </row>
    <row r="93" spans="1:4" ht="20" x14ac:dyDescent="0.2">
      <c r="A93" s="1">
        <v>193300</v>
      </c>
      <c r="B93" s="2" t="s">
        <v>245</v>
      </c>
    </row>
    <row r="94" spans="1:4" ht="20" x14ac:dyDescent="0.2">
      <c r="A94" s="1">
        <v>194070</v>
      </c>
      <c r="D94" s="2" t="s">
        <v>246</v>
      </c>
    </row>
    <row r="95" spans="1:4" ht="20" x14ac:dyDescent="0.2">
      <c r="A95" s="1">
        <v>204100</v>
      </c>
      <c r="D95" s="2" t="s">
        <v>247</v>
      </c>
    </row>
    <row r="96" spans="1:4" ht="20" x14ac:dyDescent="0.2">
      <c r="A96" s="1">
        <v>168000</v>
      </c>
      <c r="D96" s="2" t="s">
        <v>213</v>
      </c>
    </row>
    <row r="97" spans="1:4" ht="20" x14ac:dyDescent="0.2">
      <c r="A97" s="1">
        <v>115310</v>
      </c>
      <c r="D97" s="2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48-3EFB-C640-9F7B-496A3E7EEEB5}">
  <dimension ref="A1:J95"/>
  <sheetViews>
    <sheetView workbookViewId="0">
      <selection activeCell="C18" sqref="C18"/>
    </sheetView>
  </sheetViews>
  <sheetFormatPr baseColWidth="10" defaultRowHeight="16" x14ac:dyDescent="0.2"/>
  <sheetData>
    <row r="1" spans="1:10" ht="20" x14ac:dyDescent="0.2">
      <c r="A1" s="4" t="s">
        <v>198</v>
      </c>
      <c r="B1" s="2" t="str" cm="1">
        <f t="array" ref="B1:C1">_xlfn.TEXTSPLIT(A1,":")</f>
        <v>ORPHA</v>
      </c>
      <c r="C1" s="2" t="str">
        <v>43</v>
      </c>
      <c r="D1" t="str">
        <f>C1</f>
        <v>43</v>
      </c>
      <c r="E1" s="4">
        <v>43</v>
      </c>
      <c r="H1" s="2"/>
      <c r="J1" s="4"/>
    </row>
    <row r="2" spans="1:10" ht="20" x14ac:dyDescent="0.2">
      <c r="A2" s="4" t="s">
        <v>165</v>
      </c>
      <c r="B2" s="2" t="str" cm="1">
        <f t="array" ref="B2:C2">_xlfn.TEXTSPLIT(A2,":")</f>
        <v>ORPHA</v>
      </c>
      <c r="C2" s="2" t="str">
        <v>139396</v>
      </c>
      <c r="D2" t="str">
        <f t="shared" ref="D2:D65" si="0">C2</f>
        <v>139396</v>
      </c>
      <c r="E2" s="4">
        <v>139396</v>
      </c>
      <c r="G2" s="4"/>
      <c r="H2" s="2"/>
      <c r="J2" s="4"/>
    </row>
    <row r="3" spans="1:10" ht="20" x14ac:dyDescent="0.2">
      <c r="A3" s="4" t="s">
        <v>249</v>
      </c>
      <c r="B3" s="2" t="str" cm="1">
        <f t="array" ref="B3:C3">_xlfn.TEXTSPLIT(A3,":")</f>
        <v>ORPHA</v>
      </c>
      <c r="C3" s="4" t="str">
        <v>139399</v>
      </c>
      <c r="D3" t="str">
        <f t="shared" si="0"/>
        <v>139399</v>
      </c>
      <c r="E3" s="4">
        <v>139399</v>
      </c>
      <c r="G3" s="4"/>
      <c r="H3" s="4"/>
      <c r="J3" s="4"/>
    </row>
    <row r="4" spans="1:10" ht="20" x14ac:dyDescent="0.2">
      <c r="A4" s="4" t="s">
        <v>166</v>
      </c>
      <c r="B4" s="2" t="str" cm="1">
        <f t="array" ref="B4:C4">_xlfn.TEXTSPLIT(A4,":")</f>
        <v>ORPHA</v>
      </c>
      <c r="C4" s="2" t="str">
        <v>91387</v>
      </c>
      <c r="D4" t="str">
        <f t="shared" si="0"/>
        <v>91387</v>
      </c>
      <c r="E4" s="4">
        <v>91387</v>
      </c>
      <c r="G4" s="4"/>
      <c r="H4" s="2"/>
      <c r="J4" s="4"/>
    </row>
    <row r="5" spans="1:10" ht="20" x14ac:dyDescent="0.2">
      <c r="A5" s="4" t="s">
        <v>167</v>
      </c>
      <c r="B5" s="2" t="str" cm="1">
        <f t="array" ref="B5:C5">_xlfn.TEXTSPLIT(A5,":")</f>
        <v>ORPHA</v>
      </c>
      <c r="C5" s="4" t="str">
        <v>774</v>
      </c>
      <c r="D5" t="str">
        <f t="shared" si="0"/>
        <v>774</v>
      </c>
      <c r="E5" s="4">
        <v>774</v>
      </c>
      <c r="G5" s="4"/>
      <c r="H5" s="4"/>
      <c r="J5" s="4"/>
    </row>
    <row r="6" spans="1:10" ht="20" x14ac:dyDescent="0.2">
      <c r="A6" s="4" t="s">
        <v>169</v>
      </c>
      <c r="B6" s="2" t="str" cm="1">
        <f t="array" ref="B6:C6">_xlfn.TEXTSPLIT(A6,":")</f>
        <v>ORPHA</v>
      </c>
      <c r="C6" s="2" t="str">
        <v>220460</v>
      </c>
      <c r="D6" t="str">
        <f t="shared" si="0"/>
        <v>220460</v>
      </c>
      <c r="E6" s="4">
        <v>220460</v>
      </c>
      <c r="G6" s="4"/>
      <c r="H6" s="2"/>
      <c r="J6" s="4"/>
    </row>
    <row r="7" spans="1:10" ht="20" x14ac:dyDescent="0.2">
      <c r="A7" s="4" t="s">
        <v>171</v>
      </c>
      <c r="B7" s="2" t="str" cm="1">
        <f t="array" ref="B7:C7">_xlfn.TEXTSPLIT(A7,":")</f>
        <v>ORPHA</v>
      </c>
      <c r="C7" s="4" t="str">
        <v>391665</v>
      </c>
      <c r="D7" t="str">
        <f t="shared" si="0"/>
        <v>391665</v>
      </c>
      <c r="E7" s="4">
        <v>391665</v>
      </c>
      <c r="G7" s="4"/>
      <c r="H7" s="4"/>
      <c r="J7" s="4"/>
    </row>
    <row r="8" spans="1:10" ht="20" x14ac:dyDescent="0.2">
      <c r="A8" s="4" t="s">
        <v>172</v>
      </c>
      <c r="B8" s="2" t="str" cm="1">
        <f t="array" ref="B8:C8">_xlfn.TEXTSPLIT(A8,":")</f>
        <v>ORPHA</v>
      </c>
      <c r="C8" s="2" t="str">
        <v>905</v>
      </c>
      <c r="D8" t="str">
        <f t="shared" si="0"/>
        <v>905</v>
      </c>
      <c r="E8" s="4">
        <v>905</v>
      </c>
      <c r="G8" s="4"/>
      <c r="H8" s="2"/>
      <c r="J8" s="4"/>
    </row>
    <row r="9" spans="1:10" ht="20" x14ac:dyDescent="0.2">
      <c r="A9" s="4" t="s">
        <v>173</v>
      </c>
      <c r="B9" s="2" t="str" cm="1">
        <f t="array" ref="B9:C9">_xlfn.TEXTSPLIT(A9,":")</f>
        <v>ORPHA</v>
      </c>
      <c r="C9" s="4" t="str">
        <v>154</v>
      </c>
      <c r="D9" t="str">
        <f t="shared" si="0"/>
        <v>154</v>
      </c>
      <c r="E9" s="4">
        <v>154</v>
      </c>
      <c r="G9" s="4"/>
      <c r="H9" s="4"/>
      <c r="J9" s="4"/>
    </row>
    <row r="10" spans="1:10" ht="20" x14ac:dyDescent="0.2">
      <c r="A10" s="4" t="s">
        <v>174</v>
      </c>
      <c r="B10" s="2" t="str" cm="1">
        <f t="array" ref="B10:C10">_xlfn.TEXTSPLIT(A10,":")</f>
        <v>ORPHA</v>
      </c>
      <c r="C10" s="2" t="str">
        <v>199340</v>
      </c>
      <c r="D10" t="str">
        <f t="shared" si="0"/>
        <v>199340</v>
      </c>
      <c r="E10" s="4">
        <v>199340</v>
      </c>
      <c r="G10" s="4"/>
      <c r="H10" s="2"/>
      <c r="J10" s="4"/>
    </row>
    <row r="11" spans="1:10" ht="20" x14ac:dyDescent="0.2">
      <c r="A11" s="4" t="s">
        <v>176</v>
      </c>
      <c r="B11" s="2" t="str" cm="1">
        <f t="array" ref="B11:C11">_xlfn.TEXTSPLIT(A11,":")</f>
        <v>ORPHA</v>
      </c>
      <c r="C11" s="2" t="str">
        <v>329971</v>
      </c>
      <c r="D11" t="str">
        <f t="shared" si="0"/>
        <v>329971</v>
      </c>
      <c r="E11" s="4">
        <v>329971</v>
      </c>
      <c r="G11" s="4"/>
      <c r="H11" s="2"/>
      <c r="J11" s="4"/>
    </row>
    <row r="12" spans="1:10" ht="20" x14ac:dyDescent="0.2">
      <c r="A12" s="4" t="s">
        <v>175</v>
      </c>
      <c r="B12" s="2" t="str" cm="1">
        <f t="array" ref="B12:C12">_xlfn.TEXTSPLIT(A12,":")</f>
        <v>ORPHA</v>
      </c>
      <c r="C12" s="2" t="str">
        <v>2929</v>
      </c>
      <c r="D12" t="str">
        <f t="shared" si="0"/>
        <v>2929</v>
      </c>
      <c r="E12" s="4">
        <v>2929</v>
      </c>
      <c r="G12" s="4"/>
      <c r="H12" s="2"/>
      <c r="J12" s="4"/>
    </row>
    <row r="13" spans="1:10" ht="20" x14ac:dyDescent="0.2">
      <c r="A13" s="4" t="s">
        <v>177</v>
      </c>
      <c r="B13" s="2" t="str" cm="1">
        <f t="array" ref="B13:C13">_xlfn.TEXTSPLIT(A13,":")</f>
        <v>ORPHA</v>
      </c>
      <c r="C13" s="4" t="str">
        <v>145</v>
      </c>
      <c r="D13" t="str">
        <f t="shared" si="0"/>
        <v>145</v>
      </c>
      <c r="E13" s="4">
        <v>145</v>
      </c>
      <c r="G13" s="4"/>
      <c r="H13" s="4"/>
      <c r="J13" s="4"/>
    </row>
    <row r="14" spans="1:10" ht="20" x14ac:dyDescent="0.2">
      <c r="A14" s="4" t="s">
        <v>178</v>
      </c>
      <c r="B14" s="2" t="str" cm="1">
        <f t="array" ref="B14:C14">_xlfn.TEXTSPLIT(A14,":")</f>
        <v>ORPHA</v>
      </c>
      <c r="C14" s="2" t="str">
        <v>227535</v>
      </c>
      <c r="D14" t="str">
        <f t="shared" si="0"/>
        <v>227535</v>
      </c>
      <c r="E14" s="4">
        <v>227535</v>
      </c>
      <c r="G14" s="4"/>
      <c r="H14" s="2"/>
      <c r="J14" s="4"/>
    </row>
    <row r="15" spans="1:10" ht="20" x14ac:dyDescent="0.2">
      <c r="A15" s="4" t="s">
        <v>179</v>
      </c>
      <c r="B15" s="2" t="str" cm="1">
        <f t="array" ref="B15:C15">_xlfn.TEXTSPLIT(A15,":")</f>
        <v>ORPHA</v>
      </c>
      <c r="C15" s="2" t="str">
        <v>79241</v>
      </c>
      <c r="D15" t="str">
        <f t="shared" si="0"/>
        <v>79241</v>
      </c>
      <c r="E15" s="4">
        <v>79241</v>
      </c>
      <c r="G15" s="4"/>
      <c r="H15" s="2"/>
      <c r="J15" s="4"/>
    </row>
    <row r="16" spans="1:10" ht="20" x14ac:dyDescent="0.2">
      <c r="A16" s="4" t="s">
        <v>180</v>
      </c>
      <c r="B16" s="2" t="str" cm="1">
        <f t="array" ref="B16:C16">_xlfn.TEXTSPLIT(A16,":")</f>
        <v>ORPHA</v>
      </c>
      <c r="C16" s="2" t="str">
        <v>423</v>
      </c>
      <c r="D16" t="str">
        <f t="shared" si="0"/>
        <v>423</v>
      </c>
      <c r="E16" s="4">
        <v>423</v>
      </c>
      <c r="G16" s="4"/>
      <c r="H16" s="2"/>
      <c r="J16" s="4"/>
    </row>
    <row r="17" spans="1:10" ht="20" x14ac:dyDescent="0.2">
      <c r="A17" s="4" t="s">
        <v>181</v>
      </c>
      <c r="B17" s="2" t="str" cm="1">
        <f t="array" ref="B17:C17">_xlfn.TEXTSPLIT(A17,":")</f>
        <v>ORPHA</v>
      </c>
      <c r="C17" s="2" t="str">
        <v>101016</v>
      </c>
      <c r="D17" t="str">
        <f t="shared" si="0"/>
        <v>101016</v>
      </c>
      <c r="E17" s="4">
        <v>101016</v>
      </c>
      <c r="G17" s="4"/>
      <c r="H17" s="2"/>
      <c r="J17" s="4"/>
    </row>
    <row r="18" spans="1:10" ht="20" x14ac:dyDescent="0.2">
      <c r="A18" s="4" t="s">
        <v>182</v>
      </c>
      <c r="B18" s="2" t="str" cm="1">
        <f t="array" ref="B18:C18">_xlfn.TEXTSPLIT(A18,":")</f>
        <v>ORPHA</v>
      </c>
      <c r="C18" s="4" t="str">
        <v>768</v>
      </c>
      <c r="D18" t="str">
        <f t="shared" si="0"/>
        <v>768</v>
      </c>
      <c r="E18" s="4">
        <v>768</v>
      </c>
      <c r="G18" s="4"/>
      <c r="H18" s="4"/>
      <c r="J18" s="4"/>
    </row>
    <row r="19" spans="1:10" ht="20" x14ac:dyDescent="0.2">
      <c r="A19" s="4" t="s">
        <v>183</v>
      </c>
      <c r="B19" s="2" t="str" cm="1">
        <f t="array" ref="B19:C19">_xlfn.TEXTSPLIT(A19,":")</f>
        <v>ORPHA</v>
      </c>
      <c r="C19" s="2" t="str">
        <v>3286</v>
      </c>
      <c r="D19" t="str">
        <f t="shared" si="0"/>
        <v>3286</v>
      </c>
      <c r="E19" s="4">
        <v>3286</v>
      </c>
      <c r="G19" s="4"/>
      <c r="H19" s="2"/>
      <c r="J19" s="4"/>
    </row>
    <row r="20" spans="1:10" ht="20" x14ac:dyDescent="0.2">
      <c r="A20" s="4" t="s">
        <v>184</v>
      </c>
      <c r="B20" s="2" t="str" cm="1">
        <f t="array" ref="B20:C20">_xlfn.TEXTSPLIT(A20,":")</f>
        <v>ORPHA</v>
      </c>
      <c r="C20" s="4" t="str">
        <v>286</v>
      </c>
      <c r="D20" t="str">
        <f t="shared" si="0"/>
        <v>286</v>
      </c>
      <c r="E20" s="4">
        <v>286</v>
      </c>
      <c r="G20" s="4"/>
      <c r="H20" s="4"/>
      <c r="J20" s="4"/>
    </row>
    <row r="21" spans="1:10" ht="20" x14ac:dyDescent="0.2">
      <c r="A21" s="4" t="s">
        <v>185</v>
      </c>
      <c r="B21" s="2" t="str" cm="1">
        <f t="array" ref="B21:C21">_xlfn.TEXTSPLIT(A21,":")</f>
        <v>ORPHA</v>
      </c>
      <c r="C21" s="4" t="str">
        <v>909</v>
      </c>
      <c r="D21" t="str">
        <f t="shared" si="0"/>
        <v>909</v>
      </c>
      <c r="E21" s="4">
        <v>909</v>
      </c>
      <c r="G21" s="4"/>
      <c r="H21" s="4"/>
      <c r="J21" s="4"/>
    </row>
    <row r="22" spans="1:10" ht="20" x14ac:dyDescent="0.2">
      <c r="A22" s="4" t="s">
        <v>186</v>
      </c>
      <c r="B22" s="2" t="str" cm="1">
        <f t="array" ref="B22:C22">_xlfn.TEXTSPLIT(A22,":")</f>
        <v>ORPHA</v>
      </c>
      <c r="C22" s="2" t="str">
        <v>98909</v>
      </c>
      <c r="D22" t="str">
        <f t="shared" si="0"/>
        <v>98909</v>
      </c>
      <c r="E22" s="4">
        <v>98909</v>
      </c>
      <c r="G22" s="4"/>
      <c r="H22" s="2"/>
      <c r="J22" s="4"/>
    </row>
    <row r="23" spans="1:10" ht="20" x14ac:dyDescent="0.2">
      <c r="A23" s="4" t="s">
        <v>187</v>
      </c>
      <c r="B23" s="2" t="str" cm="1">
        <f t="array" ref="B23:C23">_xlfn.TEXTSPLIT(A23,":")</f>
        <v>ORPHA</v>
      </c>
      <c r="C23" s="4" t="str">
        <v>217656</v>
      </c>
      <c r="D23" t="str">
        <f t="shared" si="0"/>
        <v>217656</v>
      </c>
      <c r="E23" s="4">
        <v>217656</v>
      </c>
      <c r="G23" s="4"/>
      <c r="H23" s="4"/>
      <c r="J23" s="4"/>
    </row>
    <row r="24" spans="1:10" ht="20" x14ac:dyDescent="0.2">
      <c r="A24" s="4" t="s">
        <v>188</v>
      </c>
      <c r="B24" s="2" t="str" cm="1">
        <f t="array" ref="B24:C24">_xlfn.TEXTSPLIT(A24,":")</f>
        <v>ORPHA</v>
      </c>
      <c r="C24" s="2" t="str">
        <v>293888</v>
      </c>
      <c r="D24" t="str">
        <f t="shared" si="0"/>
        <v>293888</v>
      </c>
      <c r="E24" s="4">
        <v>293888</v>
      </c>
      <c r="G24" s="4"/>
      <c r="H24" s="2"/>
      <c r="J24" s="4"/>
    </row>
    <row r="25" spans="1:10" ht="20" x14ac:dyDescent="0.2">
      <c r="A25" s="4" t="s">
        <v>189</v>
      </c>
      <c r="B25" s="2" t="str" cm="1">
        <f t="array" ref="B25:C25">_xlfn.TEXTSPLIT(A25,":")</f>
        <v>ORPHA</v>
      </c>
      <c r="C25" s="2" t="str">
        <v>293899</v>
      </c>
      <c r="D25" t="str">
        <f t="shared" si="0"/>
        <v>293899</v>
      </c>
      <c r="E25" s="4">
        <v>293899</v>
      </c>
      <c r="G25" s="4"/>
      <c r="H25" s="2"/>
      <c r="J25" s="4"/>
    </row>
    <row r="26" spans="1:10" ht="20" x14ac:dyDescent="0.2">
      <c r="A26" s="4" t="s">
        <v>190</v>
      </c>
      <c r="B26" s="2" t="str" cm="1">
        <f t="array" ref="B26:C26">_xlfn.TEXTSPLIT(A26,":")</f>
        <v>ORPHA</v>
      </c>
      <c r="C26" s="2" t="str">
        <v>293910</v>
      </c>
      <c r="D26" t="str">
        <f t="shared" si="0"/>
        <v>293910</v>
      </c>
      <c r="E26" s="4">
        <v>293910</v>
      </c>
      <c r="G26" s="4"/>
      <c r="H26" s="2"/>
      <c r="J26" s="4"/>
    </row>
    <row r="27" spans="1:10" ht="20" x14ac:dyDescent="0.2">
      <c r="A27" s="4" t="s">
        <v>201</v>
      </c>
      <c r="B27" s="2" t="str" cm="1">
        <f t="array" ref="B27:C27">_xlfn.TEXTSPLIT(A27,":")</f>
        <v>ORPHA</v>
      </c>
      <c r="C27" s="2" t="str">
        <v>476096</v>
      </c>
      <c r="D27" t="str">
        <f t="shared" si="0"/>
        <v>476096</v>
      </c>
      <c r="E27" s="4">
        <v>476096</v>
      </c>
      <c r="G27" s="4"/>
      <c r="H27" s="2"/>
      <c r="J27" s="4"/>
    </row>
    <row r="28" spans="1:10" ht="20" x14ac:dyDescent="0.2">
      <c r="A28" s="4" t="s">
        <v>202</v>
      </c>
      <c r="B28" s="2" t="str" cm="1">
        <f t="array" ref="B28:C28">_xlfn.TEXTSPLIT(A28,":")</f>
        <v>ORPHA</v>
      </c>
      <c r="C28" s="2" t="str">
        <v>65282</v>
      </c>
      <c r="D28" t="str">
        <f t="shared" si="0"/>
        <v>65282</v>
      </c>
      <c r="E28" s="4">
        <v>65282</v>
      </c>
      <c r="G28" s="4"/>
      <c r="H28" s="2"/>
      <c r="J28" s="4"/>
    </row>
    <row r="29" spans="1:10" ht="20" x14ac:dyDescent="0.2">
      <c r="A29" s="4" t="s">
        <v>203</v>
      </c>
      <c r="B29" s="2" t="str" cm="1">
        <f t="array" ref="B29:C29">_xlfn.TEXTSPLIT(A29,":")</f>
        <v>ORPHA</v>
      </c>
      <c r="C29" s="2" t="str">
        <v>558</v>
      </c>
      <c r="D29" t="str">
        <f t="shared" si="0"/>
        <v>558</v>
      </c>
      <c r="E29" s="4">
        <v>558</v>
      </c>
      <c r="G29" s="4"/>
      <c r="H29" s="2"/>
      <c r="J29" s="4"/>
    </row>
    <row r="30" spans="1:10" ht="20" x14ac:dyDescent="0.2">
      <c r="A30" s="4" t="s">
        <v>204</v>
      </c>
      <c r="B30" s="2" t="str" cm="1">
        <f t="array" ref="B30:C30">_xlfn.TEXTSPLIT(A30,":")</f>
        <v>ORPHA</v>
      </c>
      <c r="C30" s="4" t="str">
        <v>75249</v>
      </c>
      <c r="D30" t="str">
        <f t="shared" si="0"/>
        <v>75249</v>
      </c>
      <c r="E30" s="4">
        <v>75249</v>
      </c>
      <c r="G30" s="4"/>
      <c r="H30" s="4"/>
      <c r="J30" s="4"/>
    </row>
    <row r="31" spans="1:10" ht="20" x14ac:dyDescent="0.2">
      <c r="A31" s="4" t="s">
        <v>205</v>
      </c>
      <c r="B31" s="2" t="str" cm="1">
        <f t="array" ref="B31:C31">_xlfn.TEXTSPLIT(A31,":")</f>
        <v>ORPHA</v>
      </c>
      <c r="C31" s="4" t="str">
        <v>171445</v>
      </c>
      <c r="D31" t="str">
        <f t="shared" si="0"/>
        <v>171445</v>
      </c>
      <c r="E31" s="4">
        <v>171445</v>
      </c>
      <c r="G31" s="4"/>
      <c r="H31" s="4"/>
      <c r="J31" s="4"/>
    </row>
    <row r="32" spans="1:10" ht="20" x14ac:dyDescent="0.2">
      <c r="A32" s="4" t="s">
        <v>207</v>
      </c>
      <c r="B32" s="2" t="str" cm="1">
        <f t="array" ref="B32:C32">_xlfn.TEXTSPLIT(A32,":")</f>
        <v>ORPHA</v>
      </c>
      <c r="C32" s="2" t="str">
        <v>365</v>
      </c>
      <c r="D32" t="str">
        <f t="shared" si="0"/>
        <v>365</v>
      </c>
      <c r="E32" s="4">
        <v>365</v>
      </c>
      <c r="G32" s="4"/>
      <c r="H32" s="2"/>
      <c r="J32" s="4"/>
    </row>
    <row r="33" spans="1:10" ht="20" x14ac:dyDescent="0.2">
      <c r="A33" s="4" t="s">
        <v>206</v>
      </c>
      <c r="B33" s="2" t="str" cm="1">
        <f t="array" ref="B33:C33">_xlfn.TEXTSPLIT(A33,":")</f>
        <v>ORPHA</v>
      </c>
      <c r="C33" s="4" t="str">
        <v>308552</v>
      </c>
      <c r="D33" t="str">
        <f t="shared" si="0"/>
        <v>308552</v>
      </c>
      <c r="E33" s="4">
        <v>308552</v>
      </c>
      <c r="G33" s="4"/>
      <c r="H33" s="4"/>
      <c r="J33" s="4"/>
    </row>
    <row r="34" spans="1:10" ht="20" x14ac:dyDescent="0.2">
      <c r="A34" s="4" t="s">
        <v>250</v>
      </c>
      <c r="B34" s="2" t="str" cm="1">
        <f t="array" ref="B34:C34">_xlfn.TEXTSPLIT(A34,":")</f>
        <v>ORPHA</v>
      </c>
      <c r="C34" s="4" t="str">
        <v>420429</v>
      </c>
      <c r="D34" t="str">
        <f t="shared" si="0"/>
        <v>420429</v>
      </c>
      <c r="E34" s="4">
        <v>420429</v>
      </c>
      <c r="G34" s="4"/>
      <c r="H34" s="4"/>
      <c r="J34" s="4"/>
    </row>
    <row r="35" spans="1:10" ht="20" x14ac:dyDescent="0.2">
      <c r="A35" s="4" t="s">
        <v>209</v>
      </c>
      <c r="B35" s="2" t="str" cm="1">
        <f t="array" ref="B35:C35">_xlfn.TEXTSPLIT(A35,":")</f>
        <v>ORPHA</v>
      </c>
      <c r="C35" s="2" t="str">
        <v>324</v>
      </c>
      <c r="D35" t="str">
        <f t="shared" si="0"/>
        <v>324</v>
      </c>
      <c r="E35" s="4">
        <v>324</v>
      </c>
      <c r="G35" s="4"/>
      <c r="H35" s="2"/>
      <c r="J35" s="4"/>
    </row>
    <row r="36" spans="1:10" ht="20" x14ac:dyDescent="0.2">
      <c r="A36" s="4" t="s">
        <v>210</v>
      </c>
      <c r="B36" s="2" t="str" cm="1">
        <f t="array" ref="B36:C36">_xlfn.TEXTSPLIT(A36,":")</f>
        <v>ORPHA</v>
      </c>
      <c r="C36" s="2" t="str">
        <v>465508</v>
      </c>
      <c r="D36" t="str">
        <f t="shared" si="0"/>
        <v>465508</v>
      </c>
      <c r="E36" s="4">
        <v>465508</v>
      </c>
      <c r="G36" s="4"/>
      <c r="H36" s="2"/>
      <c r="J36" s="4"/>
    </row>
    <row r="37" spans="1:10" ht="20" x14ac:dyDescent="0.2">
      <c r="A37" s="4" t="s">
        <v>211</v>
      </c>
      <c r="B37" s="2" t="str" cm="1">
        <f t="array" ref="B37:C37">_xlfn.TEXTSPLIT(A37,":")</f>
        <v>ORPHA</v>
      </c>
      <c r="C37" s="2" t="str">
        <v>552</v>
      </c>
      <c r="D37" t="str">
        <f t="shared" si="0"/>
        <v>552</v>
      </c>
      <c r="E37" s="4">
        <v>552</v>
      </c>
      <c r="G37" s="4"/>
      <c r="H37" s="2"/>
      <c r="J37" s="4"/>
    </row>
    <row r="38" spans="1:10" ht="20" x14ac:dyDescent="0.2">
      <c r="A38" s="4" t="s">
        <v>212</v>
      </c>
      <c r="B38" s="2" t="str" cm="1">
        <f t="array" ref="B38:C38">_xlfn.TEXTSPLIT(A38,":")</f>
        <v>ORPHA</v>
      </c>
      <c r="C38" s="4" t="str">
        <v>300751</v>
      </c>
      <c r="D38" t="str">
        <f t="shared" si="0"/>
        <v>300751</v>
      </c>
      <c r="E38" s="4">
        <v>300751</v>
      </c>
      <c r="G38" s="4"/>
      <c r="H38" s="4"/>
      <c r="J38" s="4"/>
    </row>
    <row r="39" spans="1:10" ht="20" x14ac:dyDescent="0.2">
      <c r="A39" s="4" t="s">
        <v>213</v>
      </c>
      <c r="B39" s="2" t="str" cm="1">
        <f t="array" ref="B39:C39">_xlfn.TEXTSPLIT(A39,":")</f>
        <v>ORPHA</v>
      </c>
      <c r="C39" s="2" t="str">
        <v>29072</v>
      </c>
      <c r="D39" t="str">
        <f t="shared" si="0"/>
        <v>29072</v>
      </c>
      <c r="E39" s="4">
        <v>29072</v>
      </c>
      <c r="G39" s="4"/>
      <c r="H39" s="2"/>
      <c r="J39" s="4"/>
    </row>
    <row r="40" spans="1:10" ht="20" x14ac:dyDescent="0.2">
      <c r="A40" s="4" t="s">
        <v>214</v>
      </c>
      <c r="B40" s="2" t="str" cm="1">
        <f t="array" ref="B40:C40">_xlfn.TEXTSPLIT(A40,":")</f>
        <v>ORPHA</v>
      </c>
      <c r="C40" s="2" t="str">
        <v>652</v>
      </c>
      <c r="D40" t="str">
        <f t="shared" si="0"/>
        <v>652</v>
      </c>
      <c r="E40" s="4">
        <v>652</v>
      </c>
      <c r="G40" s="4"/>
      <c r="H40" s="2"/>
      <c r="J40" s="4"/>
    </row>
    <row r="41" spans="1:10" ht="20" x14ac:dyDescent="0.2">
      <c r="A41" s="4" t="s">
        <v>215</v>
      </c>
      <c r="B41" s="2" t="str" cm="1">
        <f t="array" ref="B41:C41">_xlfn.TEXTSPLIT(A41,":")</f>
        <v>ORPHA</v>
      </c>
      <c r="C41" s="4" t="str">
        <v>144</v>
      </c>
      <c r="D41" t="str">
        <f t="shared" si="0"/>
        <v>144</v>
      </c>
      <c r="E41" s="4">
        <v>144</v>
      </c>
      <c r="G41" s="4"/>
      <c r="H41" s="4"/>
      <c r="J41" s="4"/>
    </row>
    <row r="42" spans="1:10" ht="20" x14ac:dyDescent="0.2">
      <c r="A42" s="4" t="s">
        <v>216</v>
      </c>
      <c r="B42" s="2" t="str" cm="1">
        <f t="array" ref="B42:C42">_xlfn.TEXTSPLIT(A42,":")</f>
        <v>ORPHA</v>
      </c>
      <c r="C42" s="2" t="str">
        <v>247798</v>
      </c>
      <c r="D42" t="str">
        <f t="shared" si="0"/>
        <v>247798</v>
      </c>
      <c r="E42" s="4">
        <v>247798</v>
      </c>
      <c r="G42" s="4"/>
      <c r="H42" s="2"/>
      <c r="J42" s="4"/>
    </row>
    <row r="43" spans="1:10" ht="20" x14ac:dyDescent="0.2">
      <c r="A43" s="4" t="s">
        <v>170</v>
      </c>
      <c r="B43" s="2" t="str" cm="1">
        <f t="array" ref="B43:C43">_xlfn.TEXTSPLIT(A43,":")</f>
        <v>ORPHA</v>
      </c>
      <c r="C43" s="4" t="str">
        <v>733</v>
      </c>
      <c r="D43" t="str">
        <f t="shared" si="0"/>
        <v>733</v>
      </c>
      <c r="E43" s="4">
        <v>733</v>
      </c>
      <c r="G43" s="4"/>
      <c r="H43" s="4"/>
      <c r="J43" s="4"/>
    </row>
    <row r="44" spans="1:10" ht="20" x14ac:dyDescent="0.2">
      <c r="A44" s="4" t="s">
        <v>217</v>
      </c>
      <c r="B44" s="2" t="str" cm="1">
        <f t="array" ref="B44:C44">_xlfn.TEXTSPLIT(A44,":")</f>
        <v>ORPHA</v>
      </c>
      <c r="C44" s="2" t="str">
        <v>54260</v>
      </c>
      <c r="D44" t="str">
        <f t="shared" si="0"/>
        <v>54260</v>
      </c>
      <c r="E44" s="4">
        <v>54260</v>
      </c>
      <c r="G44" s="4"/>
      <c r="H44" s="2"/>
      <c r="J44" s="4"/>
    </row>
    <row r="45" spans="1:10" ht="20" x14ac:dyDescent="0.2">
      <c r="A45" s="4" t="s">
        <v>218</v>
      </c>
      <c r="B45" s="2" t="str" cm="1">
        <f t="array" ref="B45:C45">_xlfn.TEXTSPLIT(A45,":")</f>
        <v>ORPHA</v>
      </c>
      <c r="C45" s="2" t="str">
        <v>634475</v>
      </c>
      <c r="D45" t="str">
        <f t="shared" si="0"/>
        <v>634475</v>
      </c>
      <c r="E45" s="4">
        <v>634475</v>
      </c>
      <c r="G45" s="4"/>
      <c r="H45" s="2"/>
      <c r="J45" s="4"/>
    </row>
    <row r="46" spans="1:10" ht="20" x14ac:dyDescent="0.2">
      <c r="A46" s="4" t="s">
        <v>251</v>
      </c>
      <c r="B46" s="2" t="str" cm="1">
        <f t="array" ref="B46:C46">_xlfn.TEXTSPLIT(A46,":")</f>
        <v>ORPHA</v>
      </c>
      <c r="C46" s="4" t="str">
        <v>637</v>
      </c>
      <c r="D46" t="str">
        <f t="shared" si="0"/>
        <v>637</v>
      </c>
      <c r="E46" s="4">
        <v>637</v>
      </c>
      <c r="G46" s="4"/>
      <c r="H46" s="4"/>
      <c r="J46" s="4"/>
    </row>
    <row r="47" spans="1:10" ht="20" x14ac:dyDescent="0.2">
      <c r="A47" s="4" t="s">
        <v>220</v>
      </c>
      <c r="B47" s="2" t="str" cm="1">
        <f t="array" ref="B47:C47">_xlfn.TEXTSPLIT(A47,":")</f>
        <v>ORPHA</v>
      </c>
      <c r="C47" s="2" t="str">
        <v>664</v>
      </c>
      <c r="D47" t="str">
        <f t="shared" si="0"/>
        <v>664</v>
      </c>
      <c r="E47" s="4">
        <v>664</v>
      </c>
      <c r="G47" s="4"/>
      <c r="H47" s="2"/>
      <c r="J47" s="4"/>
    </row>
    <row r="48" spans="1:10" ht="20" x14ac:dyDescent="0.2">
      <c r="A48" s="4" t="s">
        <v>221</v>
      </c>
      <c r="B48" s="2" t="str" cm="1">
        <f t="array" ref="B48:C48">_xlfn.TEXTSPLIT(A48,":")</f>
        <v>ORPHA</v>
      </c>
      <c r="C48" s="4" t="str">
        <v>109</v>
      </c>
      <c r="D48" t="str">
        <f t="shared" si="0"/>
        <v>109</v>
      </c>
      <c r="E48" s="4">
        <v>109</v>
      </c>
      <c r="G48" s="4"/>
      <c r="H48" s="4"/>
      <c r="J48" s="4"/>
    </row>
    <row r="49" spans="1:10" ht="20" x14ac:dyDescent="0.2">
      <c r="A49" s="4" t="s">
        <v>252</v>
      </c>
      <c r="B49" s="2" t="str" cm="1">
        <f t="array" ref="B49:C49">_xlfn.TEXTSPLIT(A49,":")</f>
        <v>ORPHA</v>
      </c>
      <c r="C49" s="2" t="str">
        <v>2969</v>
      </c>
      <c r="D49" t="str">
        <f t="shared" si="0"/>
        <v>2969</v>
      </c>
      <c r="E49" s="4">
        <v>2969</v>
      </c>
      <c r="G49" s="4"/>
      <c r="H49" s="2"/>
      <c r="J49" s="4"/>
    </row>
    <row r="50" spans="1:10" ht="20" x14ac:dyDescent="0.2">
      <c r="A50" s="4" t="s">
        <v>253</v>
      </c>
      <c r="B50" s="2" t="str" cm="1">
        <f t="array" ref="B50:C50">_xlfn.TEXTSPLIT(A50,":")</f>
        <v>ORPHA</v>
      </c>
      <c r="C50" s="4" t="str">
        <v>65285</v>
      </c>
      <c r="D50" t="str">
        <f t="shared" si="0"/>
        <v>65285</v>
      </c>
      <c r="E50" s="4">
        <v>65285</v>
      </c>
      <c r="G50" s="4"/>
      <c r="H50" s="4"/>
      <c r="J50" s="4"/>
    </row>
    <row r="51" spans="1:10" ht="20" x14ac:dyDescent="0.2">
      <c r="A51" s="4" t="s">
        <v>223</v>
      </c>
      <c r="B51" s="2" t="str" cm="1">
        <f t="array" ref="B51:C51">_xlfn.TEXTSPLIT(A51,":")</f>
        <v>ORPHA</v>
      </c>
      <c r="C51" s="4" t="str">
        <v>201</v>
      </c>
      <c r="D51" t="str">
        <f t="shared" si="0"/>
        <v>201</v>
      </c>
      <c r="E51" s="4">
        <v>201</v>
      </c>
      <c r="G51" s="4"/>
      <c r="H51" s="4"/>
      <c r="J51" s="4"/>
    </row>
    <row r="52" spans="1:10" ht="20" x14ac:dyDescent="0.2">
      <c r="A52" s="4" t="s">
        <v>226</v>
      </c>
      <c r="B52" s="2" t="str" cm="1">
        <f t="array" ref="B52:C52">_xlfn.TEXTSPLIT(A52,":")</f>
        <v>ORPHA</v>
      </c>
      <c r="C52" s="4" t="str">
        <v>790</v>
      </c>
      <c r="D52" t="str">
        <f t="shared" si="0"/>
        <v>790</v>
      </c>
      <c r="E52" s="4">
        <v>790</v>
      </c>
      <c r="G52" s="4"/>
      <c r="H52" s="4"/>
      <c r="J52" s="4"/>
    </row>
    <row r="53" spans="1:10" ht="20" x14ac:dyDescent="0.2">
      <c r="A53" s="4" t="s">
        <v>224</v>
      </c>
      <c r="B53" s="2" t="str" cm="1">
        <f t="array" ref="B53:C53">_xlfn.TEXTSPLIT(A53,":")</f>
        <v>ORPHA</v>
      </c>
      <c r="C53" s="4" t="str">
        <v>357027</v>
      </c>
      <c r="D53" t="str">
        <f t="shared" si="0"/>
        <v>357027</v>
      </c>
      <c r="E53" s="4">
        <v>357027</v>
      </c>
      <c r="G53" s="4"/>
      <c r="H53" s="4"/>
      <c r="J53" s="4"/>
    </row>
    <row r="54" spans="1:10" ht="20" x14ac:dyDescent="0.2">
      <c r="A54" s="4" t="s">
        <v>254</v>
      </c>
      <c r="B54" s="2" t="str" cm="1">
        <f t="array" ref="B54:C54">_xlfn.TEXTSPLIT(A54,":")</f>
        <v>ORPHA</v>
      </c>
      <c r="C54" s="4" t="str">
        <v>357034</v>
      </c>
      <c r="D54" t="str">
        <f t="shared" si="0"/>
        <v>357034</v>
      </c>
      <c r="E54" s="4">
        <v>357034</v>
      </c>
      <c r="G54" s="4"/>
      <c r="H54" s="4"/>
      <c r="J54" s="4"/>
    </row>
    <row r="55" spans="1:10" ht="20" x14ac:dyDescent="0.2">
      <c r="A55" s="4" t="s">
        <v>228</v>
      </c>
      <c r="B55" s="2" t="str" cm="1">
        <f t="array" ref="B55:C55">_xlfn.TEXTSPLIT(A55,":")</f>
        <v>ORPHA</v>
      </c>
      <c r="C55" s="2" t="str">
        <v>99361</v>
      </c>
      <c r="D55" t="str">
        <f t="shared" si="0"/>
        <v>99361</v>
      </c>
      <c r="E55" s="4">
        <v>99361</v>
      </c>
      <c r="G55" s="4"/>
      <c r="H55" s="2"/>
      <c r="J55" s="4"/>
    </row>
    <row r="56" spans="1:10" ht="20" x14ac:dyDescent="0.2">
      <c r="A56" s="4" t="s">
        <v>227</v>
      </c>
      <c r="B56" s="2" t="str" cm="1">
        <f t="array" ref="B56:C56">_xlfn.TEXTSPLIT(A56,":")</f>
        <v>ORPHA</v>
      </c>
      <c r="C56" s="2" t="str">
        <v>653</v>
      </c>
      <c r="D56" t="str">
        <f t="shared" si="0"/>
        <v>653</v>
      </c>
      <c r="E56" s="4">
        <v>653</v>
      </c>
      <c r="G56" s="4"/>
      <c r="H56" s="2"/>
      <c r="J56" s="4"/>
    </row>
    <row r="57" spans="1:10" ht="20" x14ac:dyDescent="0.2">
      <c r="A57" s="4" t="s">
        <v>229</v>
      </c>
      <c r="B57" s="2" t="str" cm="1">
        <f t="array" ref="B57:C57">_xlfn.TEXTSPLIT(A57,":")</f>
        <v>ORPHA</v>
      </c>
      <c r="C57" s="2" t="str">
        <v>247698</v>
      </c>
      <c r="D57" t="str">
        <f t="shared" si="0"/>
        <v>247698</v>
      </c>
      <c r="E57" s="4">
        <v>247698</v>
      </c>
      <c r="G57" s="4"/>
      <c r="H57" s="2"/>
      <c r="J57" s="4"/>
    </row>
    <row r="58" spans="1:10" ht="20" x14ac:dyDescent="0.2">
      <c r="A58" s="4" t="s">
        <v>230</v>
      </c>
      <c r="B58" s="2" t="str" cm="1">
        <f t="array" ref="B58:C58">_xlfn.TEXTSPLIT(A58,":")</f>
        <v>ORPHA</v>
      </c>
      <c r="C58" s="2" t="str">
        <v>247709</v>
      </c>
      <c r="D58" t="str">
        <f t="shared" si="0"/>
        <v>247709</v>
      </c>
      <c r="E58" s="4">
        <v>247709</v>
      </c>
      <c r="G58" s="4"/>
      <c r="H58" s="2"/>
      <c r="J58" s="4"/>
    </row>
    <row r="59" spans="1:10" ht="20" x14ac:dyDescent="0.2">
      <c r="A59" s="4" t="s">
        <v>231</v>
      </c>
      <c r="B59" s="2" t="str" cm="1">
        <f t="array" ref="B59:C59">_xlfn.TEXTSPLIT(A59,":")</f>
        <v>ORPHA</v>
      </c>
      <c r="C59" s="4" t="str">
        <v>791</v>
      </c>
      <c r="D59" t="str">
        <f t="shared" si="0"/>
        <v>791</v>
      </c>
      <c r="E59" s="4">
        <v>791</v>
      </c>
      <c r="G59" s="4"/>
      <c r="H59" s="4"/>
      <c r="J59" s="4"/>
    </row>
    <row r="60" spans="1:10" ht="20" x14ac:dyDescent="0.2">
      <c r="A60" s="4" t="s">
        <v>232</v>
      </c>
      <c r="B60" s="2" t="str" cm="1">
        <f t="array" ref="B60:C60">_xlfn.TEXTSPLIT(A60,":")</f>
        <v>ORPHA</v>
      </c>
      <c r="C60" s="2" t="str">
        <v>130</v>
      </c>
      <c r="D60" t="str">
        <f t="shared" si="0"/>
        <v>130</v>
      </c>
      <c r="E60" s="4">
        <v>130</v>
      </c>
      <c r="G60" s="4"/>
      <c r="H60" s="2"/>
      <c r="J60" s="4"/>
    </row>
    <row r="61" spans="1:10" ht="20" x14ac:dyDescent="0.2">
      <c r="A61" s="4" t="s">
        <v>233</v>
      </c>
      <c r="B61" s="2" t="str" cm="1">
        <f t="array" ref="B61:C61">_xlfn.TEXTSPLIT(A61,":")</f>
        <v>ORPHA</v>
      </c>
      <c r="C61" s="2" t="str">
        <v>284984</v>
      </c>
      <c r="D61" t="str">
        <f t="shared" si="0"/>
        <v>284984</v>
      </c>
      <c r="E61" s="4">
        <v>284984</v>
      </c>
      <c r="G61" s="4"/>
      <c r="H61" s="2"/>
      <c r="J61" s="4"/>
    </row>
    <row r="62" spans="1:10" ht="20" x14ac:dyDescent="0.2">
      <c r="A62" s="4" t="s">
        <v>234</v>
      </c>
      <c r="B62" s="2" t="str" cm="1">
        <f t="array" ref="B62:C62">_xlfn.TEXTSPLIT(A62,":")</f>
        <v>ORPHA</v>
      </c>
      <c r="C62" s="2" t="str">
        <v>60030</v>
      </c>
      <c r="D62" t="str">
        <f t="shared" si="0"/>
        <v>60030</v>
      </c>
      <c r="E62" s="4">
        <v>60030</v>
      </c>
      <c r="G62" s="4"/>
      <c r="H62" s="2"/>
      <c r="J62" s="4"/>
    </row>
    <row r="63" spans="1:10" ht="20" x14ac:dyDescent="0.2">
      <c r="A63" s="4" t="s">
        <v>255</v>
      </c>
      <c r="B63" s="2" t="str" cm="1">
        <f t="array" ref="B63:C63">_xlfn.TEXTSPLIT(A63,":")</f>
        <v>ORPHA</v>
      </c>
      <c r="C63" s="2" t="str">
        <v>79076</v>
      </c>
      <c r="D63" t="str">
        <f t="shared" si="0"/>
        <v>79076</v>
      </c>
      <c r="E63" s="4">
        <v>79076</v>
      </c>
      <c r="G63" s="4"/>
      <c r="H63" s="2"/>
      <c r="J63" s="4"/>
    </row>
    <row r="64" spans="1:10" ht="20" x14ac:dyDescent="0.2">
      <c r="A64" s="4" t="s">
        <v>236</v>
      </c>
      <c r="B64" s="2" t="str" cm="1">
        <f t="array" ref="B64:C64">_xlfn.TEXTSPLIT(A64,":")</f>
        <v>ORPHA</v>
      </c>
      <c r="C64" s="2" t="str">
        <v>2869</v>
      </c>
      <c r="D64" t="str">
        <f t="shared" si="0"/>
        <v>2869</v>
      </c>
      <c r="E64" s="4">
        <v>2869</v>
      </c>
      <c r="G64" s="4"/>
      <c r="H64" s="2"/>
      <c r="J64" s="4"/>
    </row>
    <row r="65" spans="1:10" ht="20" x14ac:dyDescent="0.2">
      <c r="A65" s="4" t="s">
        <v>238</v>
      </c>
      <c r="B65" s="2" t="str" cm="1">
        <f t="array" ref="B65:C65">_xlfn.TEXTSPLIT(A65,":")</f>
        <v>ORPHA</v>
      </c>
      <c r="C65" s="2" t="str">
        <v>284973</v>
      </c>
      <c r="D65" t="str">
        <f t="shared" si="0"/>
        <v>284973</v>
      </c>
      <c r="E65" s="4">
        <v>284973</v>
      </c>
      <c r="G65" s="4"/>
      <c r="H65" s="2"/>
      <c r="J65" s="4"/>
    </row>
    <row r="66" spans="1:10" ht="20" x14ac:dyDescent="0.2">
      <c r="A66" s="4" t="s">
        <v>240</v>
      </c>
      <c r="B66" s="2" t="str" cm="1">
        <f t="array" ref="B66:C66">_xlfn.TEXTSPLIT(A66,":")</f>
        <v>ORPHA</v>
      </c>
      <c r="C66" s="2" t="str">
        <v>524</v>
      </c>
      <c r="D66" t="str">
        <f t="shared" ref="D66:D73" si="1">C66</f>
        <v>524</v>
      </c>
      <c r="E66" s="4">
        <v>524</v>
      </c>
      <c r="G66" s="4"/>
      <c r="H66" s="2"/>
      <c r="J66" s="4"/>
    </row>
    <row r="67" spans="1:10" ht="20" x14ac:dyDescent="0.2">
      <c r="A67" s="4" t="s">
        <v>241</v>
      </c>
      <c r="B67" s="2" t="str" cm="1">
        <f t="array" ref="B67:C67">_xlfn.TEXTSPLIT(A67,":")</f>
        <v>ORPHA</v>
      </c>
      <c r="C67" s="4" t="str">
        <v>805</v>
      </c>
      <c r="D67" t="str">
        <f t="shared" si="1"/>
        <v>805</v>
      </c>
      <c r="E67" s="4">
        <v>805</v>
      </c>
      <c r="G67" s="4"/>
      <c r="H67" s="4"/>
      <c r="J67" s="4"/>
    </row>
    <row r="68" spans="1:10" ht="20" x14ac:dyDescent="0.2">
      <c r="A68" s="4" t="s">
        <v>242</v>
      </c>
      <c r="B68" s="2" t="str" cm="1">
        <f t="array" ref="B68:C68">_xlfn.TEXTSPLIT(A68,":")</f>
        <v>ORPHA</v>
      </c>
      <c r="C68" s="4" t="str">
        <v>271861</v>
      </c>
      <c r="D68" t="str">
        <f t="shared" si="1"/>
        <v>271861</v>
      </c>
      <c r="E68" s="4">
        <v>271861</v>
      </c>
      <c r="G68" s="4"/>
      <c r="H68" s="4"/>
      <c r="J68" s="4"/>
    </row>
    <row r="69" spans="1:10" ht="20" x14ac:dyDescent="0.2">
      <c r="A69" s="4" t="s">
        <v>243</v>
      </c>
      <c r="B69" s="2" t="str" cm="1">
        <f t="array" ref="B69:C69">_xlfn.TEXTSPLIT(A69,":")</f>
        <v>ORPHA</v>
      </c>
      <c r="C69" s="2" t="str">
        <v>85447</v>
      </c>
      <c r="D69" t="str">
        <f t="shared" si="1"/>
        <v>85447</v>
      </c>
      <c r="E69" s="4">
        <v>85447</v>
      </c>
      <c r="G69" s="4"/>
      <c r="H69" s="2"/>
      <c r="J69" s="4"/>
    </row>
    <row r="70" spans="1:10" ht="20" x14ac:dyDescent="0.2">
      <c r="A70" s="4" t="s">
        <v>256</v>
      </c>
      <c r="B70" s="2" t="str" cm="1">
        <f t="array" ref="B70:C70">_xlfn.TEXTSPLIT(A70,":")</f>
        <v>ORPHA</v>
      </c>
      <c r="C70" s="4" t="str">
        <v>85451</v>
      </c>
      <c r="D70" t="str">
        <f t="shared" si="1"/>
        <v>85451</v>
      </c>
      <c r="E70" s="4">
        <v>85451</v>
      </c>
      <c r="G70" s="4"/>
      <c r="H70" s="4"/>
      <c r="J70" s="4"/>
    </row>
    <row r="71" spans="1:10" ht="20" x14ac:dyDescent="0.2">
      <c r="A71" s="4" t="s">
        <v>245</v>
      </c>
      <c r="B71" s="2" t="str" cm="1">
        <f t="array" ref="B71:C71">_xlfn.TEXTSPLIT(A71,":")</f>
        <v>ORPHA</v>
      </c>
      <c r="C71" s="2" t="str">
        <v>892</v>
      </c>
      <c r="D71" t="str">
        <f t="shared" si="1"/>
        <v>892</v>
      </c>
      <c r="E71" s="4">
        <v>892</v>
      </c>
      <c r="G71" s="4"/>
      <c r="H71" s="2"/>
      <c r="J71" s="4"/>
    </row>
    <row r="72" spans="1:10" ht="20" x14ac:dyDescent="0.2">
      <c r="A72" s="4" t="s">
        <v>246</v>
      </c>
      <c r="B72" s="2" t="str" cm="1">
        <f t="array" ref="B72:C72">_xlfn.TEXTSPLIT(A72,":")</f>
        <v>ORPHA</v>
      </c>
      <c r="C72" s="2" t="str">
        <v>654</v>
      </c>
      <c r="D72" t="str">
        <f t="shared" si="1"/>
        <v>654</v>
      </c>
      <c r="E72" s="4">
        <v>654</v>
      </c>
      <c r="G72" s="4"/>
      <c r="H72" s="2"/>
      <c r="J72" s="4"/>
    </row>
    <row r="73" spans="1:10" ht="20" x14ac:dyDescent="0.2">
      <c r="A73" s="4" t="s">
        <v>247</v>
      </c>
      <c r="B73" s="2" t="str" cm="1">
        <f t="array" ref="B73:C73">_xlfn.TEXTSPLIT(A73,":")</f>
        <v>ORPHA</v>
      </c>
      <c r="C73" s="2" t="str">
        <v>65</v>
      </c>
      <c r="D73" t="str">
        <f t="shared" si="1"/>
        <v>65</v>
      </c>
      <c r="E73" s="4">
        <v>65</v>
      </c>
      <c r="G73" s="4"/>
      <c r="H73" s="2"/>
      <c r="J73" s="4"/>
    </row>
    <row r="74" spans="1:10" ht="20" x14ac:dyDescent="0.2">
      <c r="A74" s="2"/>
      <c r="B74" s="4"/>
      <c r="C74" s="2"/>
      <c r="G74" s="4"/>
    </row>
    <row r="75" spans="1:10" ht="20" x14ac:dyDescent="0.2">
      <c r="A75" s="4"/>
      <c r="B75" s="2"/>
      <c r="C75" s="2"/>
    </row>
    <row r="76" spans="1:10" ht="20" x14ac:dyDescent="0.2">
      <c r="A76" s="2"/>
      <c r="B76" s="4"/>
      <c r="C76" s="4"/>
    </row>
    <row r="77" spans="1:10" ht="20" x14ac:dyDescent="0.2">
      <c r="A77" s="4"/>
      <c r="B77" s="4"/>
      <c r="C77" s="2"/>
    </row>
    <row r="78" spans="1:10" ht="20" x14ac:dyDescent="0.2">
      <c r="A78" s="4"/>
      <c r="B78" s="2"/>
      <c r="C78" s="2"/>
    </row>
    <row r="79" spans="1:10" ht="20" x14ac:dyDescent="0.2">
      <c r="A79" s="4"/>
      <c r="B79" s="2"/>
      <c r="C79" s="2"/>
    </row>
    <row r="80" spans="1:10" ht="20" x14ac:dyDescent="0.2">
      <c r="A80" s="4"/>
      <c r="B80" s="4"/>
      <c r="C80" s="2"/>
    </row>
    <row r="81" spans="1:3" x14ac:dyDescent="0.2">
      <c r="A81" s="4"/>
      <c r="B81" s="4"/>
      <c r="C81" s="4"/>
    </row>
    <row r="82" spans="1:3" ht="20" x14ac:dyDescent="0.2">
      <c r="A82" s="4"/>
      <c r="B82" s="2"/>
      <c r="C82" s="2"/>
    </row>
    <row r="83" spans="1:3" x14ac:dyDescent="0.2">
      <c r="A83" s="4"/>
      <c r="B83" s="4"/>
      <c r="C83" s="4"/>
    </row>
    <row r="84" spans="1:3" ht="20" x14ac:dyDescent="0.2">
      <c r="A84" s="4"/>
      <c r="B84" s="4"/>
      <c r="C84" s="2"/>
    </row>
    <row r="85" spans="1:3" x14ac:dyDescent="0.2">
      <c r="A85" s="4"/>
      <c r="B85" s="4"/>
      <c r="C85" s="4"/>
    </row>
    <row r="86" spans="1:3" ht="20" x14ac:dyDescent="0.2">
      <c r="A86" s="4"/>
      <c r="B86" s="4"/>
      <c r="C86" s="2"/>
    </row>
    <row r="87" spans="1:3" ht="20" x14ac:dyDescent="0.2">
      <c r="A87" s="4"/>
      <c r="B87" s="4"/>
      <c r="C87" s="2"/>
    </row>
    <row r="88" spans="1:3" ht="20" x14ac:dyDescent="0.2">
      <c r="A88" s="4"/>
      <c r="B88" s="4"/>
      <c r="C88" s="2"/>
    </row>
    <row r="89" spans="1:3" ht="20" x14ac:dyDescent="0.2">
      <c r="A89" s="4"/>
      <c r="B89" s="4"/>
      <c r="C89" s="2"/>
    </row>
    <row r="90" spans="1:3" ht="20" x14ac:dyDescent="0.2">
      <c r="A90" s="2"/>
      <c r="B90" s="2"/>
      <c r="C90" s="4"/>
    </row>
    <row r="91" spans="1:3" ht="20" x14ac:dyDescent="0.2">
      <c r="A91" s="2"/>
      <c r="B91" s="4"/>
      <c r="C91" s="4"/>
    </row>
    <row r="92" spans="1:3" ht="20" x14ac:dyDescent="0.2">
      <c r="A92" s="4"/>
      <c r="B92" s="4"/>
      <c r="C92" s="2"/>
    </row>
    <row r="93" spans="1:3" ht="20" x14ac:dyDescent="0.2">
      <c r="A93" s="4"/>
      <c r="B93" s="4"/>
      <c r="C93" s="2"/>
    </row>
    <row r="94" spans="1:3" ht="20" x14ac:dyDescent="0.2">
      <c r="A94" s="4"/>
      <c r="B94" s="4"/>
      <c r="C94" s="2"/>
    </row>
    <row r="95" spans="1:3" ht="20" x14ac:dyDescent="0.2">
      <c r="A95" s="4"/>
      <c r="B95" s="4"/>
      <c r="C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ACMG SF Annotations Download - </vt:lpstr>
      <vt:lpstr>OMIM to Orpha</vt:lpstr>
      <vt:lpstr>Orpha to ICD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Willard W</dc:creator>
  <cp:lastModifiedBy>Ford, Willard W</cp:lastModifiedBy>
  <dcterms:created xsi:type="dcterms:W3CDTF">2025-10-30T20:59:50Z</dcterms:created>
  <dcterms:modified xsi:type="dcterms:W3CDTF">2025-11-03T19:09:57Z</dcterms:modified>
</cp:coreProperties>
</file>